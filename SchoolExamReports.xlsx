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RtIEnbX19JliYzOjRLjP6Y5xGapljxSGJBAbdehCu4AQ7UQVzEeWfbC1zbKprq0jIUGW+geBmRk0GK152XEvqg==" workbookSaltValue="ybB9gylNgClxpKQQW9Lh0w==" workbookSpinCount="100000" lockStructure="1"/>
  <bookViews>
    <workbookView windowWidth="17900" windowHeight="6800" tabRatio="817" activeTab="5"/>
  </bookViews>
  <sheets>
    <sheet name="Guide" sheetId="2" r:id="rId1"/>
    <sheet name="Students Names" sheetId="6" r:id="rId2"/>
    <sheet name="ContinuousAssessment" sheetId="3" r:id="rId3"/>
    <sheet name="testResults" sheetId="5" r:id="rId4"/>
    <sheet name="overAll" sheetId="1" r:id="rId5"/>
    <sheet name="reportCard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<sst xmlns="http://schemas.openxmlformats.org/spreadsheetml/2006/main" count="144" uniqueCount="116">
  <si>
    <t>ClICK HERE TO GO TO:</t>
  </si>
  <si>
    <t>Test Percentage</t>
  </si>
  <si>
    <t>Continuous Assessment Percentage</t>
  </si>
  <si>
    <t>Continuos Assesssment</t>
  </si>
  <si>
    <t>OverAll</t>
  </si>
  <si>
    <t>reportCards</t>
  </si>
  <si>
    <t>Student Names</t>
  </si>
  <si>
    <t>Test Results</t>
  </si>
  <si>
    <t>Enter Your School Name Here➡️</t>
  </si>
  <si>
    <t>KALPOHIN ANGLICAN PRIMARY B</t>
  </si>
  <si>
    <t>NAME</t>
  </si>
  <si>
    <t>ADAM FATI</t>
  </si>
  <si>
    <t>ALAHASSAN IDDRISU</t>
  </si>
  <si>
    <t>ALHASSAN FATIMA</t>
  </si>
  <si>
    <t>BABA FUSEINI</t>
  </si>
  <si>
    <t>INUSAH FATAW</t>
  </si>
  <si>
    <t>ENGLISH</t>
  </si>
  <si>
    <t>MATHEMATICS</t>
  </si>
  <si>
    <t>SCIENCE</t>
  </si>
  <si>
    <t>HISTORY</t>
  </si>
  <si>
    <t>RELIGIOUS AND MORAL EDUCATION</t>
  </si>
  <si>
    <t>CREATIVE ARTS</t>
  </si>
  <si>
    <t>OUR WORLD OUR PEOPLE</t>
  </si>
  <si>
    <t>COMPUTING</t>
  </si>
  <si>
    <t>GHANAIAN LANGUAGE</t>
  </si>
  <si>
    <t>english test1</t>
  </si>
  <si>
    <t>english test2</t>
  </si>
  <si>
    <t>english test3</t>
  </si>
  <si>
    <t>english test4</t>
  </si>
  <si>
    <t>math test1</t>
  </si>
  <si>
    <t>math test2</t>
  </si>
  <si>
    <t>math test3</t>
  </si>
  <si>
    <t>math test4</t>
  </si>
  <si>
    <t>science test1</t>
  </si>
  <si>
    <t>science test2</t>
  </si>
  <si>
    <t>science test3</t>
  </si>
  <si>
    <t>science test4</t>
  </si>
  <si>
    <t>history test1</t>
  </si>
  <si>
    <t>history test2</t>
  </si>
  <si>
    <t>history test3</t>
  </si>
  <si>
    <t>history test4</t>
  </si>
  <si>
    <t>rme test1</t>
  </si>
  <si>
    <t>rme test2</t>
  </si>
  <si>
    <t>rme test3</t>
  </si>
  <si>
    <t>rme test4</t>
  </si>
  <si>
    <t>arts test1</t>
  </si>
  <si>
    <t>arts test2</t>
  </si>
  <si>
    <t>arts test3</t>
  </si>
  <si>
    <t>arts test4</t>
  </si>
  <si>
    <t>owop test1</t>
  </si>
  <si>
    <t>owop test2</t>
  </si>
  <si>
    <t>owop test3</t>
  </si>
  <si>
    <t>owop test4</t>
  </si>
  <si>
    <t>computing test1</t>
  </si>
  <si>
    <t>computing test2</t>
  </si>
  <si>
    <t>computing test3</t>
  </si>
  <si>
    <t>computing test4</t>
  </si>
  <si>
    <t>ghLanguage test1</t>
  </si>
  <si>
    <t>ghLanguage test2</t>
  </si>
  <si>
    <t>ghLanguage test3</t>
  </si>
  <si>
    <t>ghLanguage test4</t>
  </si>
  <si>
    <t>RME</t>
  </si>
  <si>
    <t>OWOP</t>
  </si>
  <si>
    <t>DAGBANI</t>
  </si>
  <si>
    <t>name of student</t>
  </si>
  <si>
    <t>englishCA</t>
  </si>
  <si>
    <t>englishTest</t>
  </si>
  <si>
    <t>englishTotal</t>
  </si>
  <si>
    <t>mathCA</t>
  </si>
  <si>
    <t>mathTest</t>
  </si>
  <si>
    <t>mathTotal</t>
  </si>
  <si>
    <t>scienceCA</t>
  </si>
  <si>
    <t>scienceTest</t>
  </si>
  <si>
    <t>scienceTotal</t>
  </si>
  <si>
    <t>historyCA</t>
  </si>
  <si>
    <t>historyTest</t>
  </si>
  <si>
    <t>historyTotal</t>
  </si>
  <si>
    <t>rmeCA</t>
  </si>
  <si>
    <t>rmeTest</t>
  </si>
  <si>
    <t>rmeTotal</t>
  </si>
  <si>
    <t>creativeArtsCA</t>
  </si>
  <si>
    <t>creativeArtsTest</t>
  </si>
  <si>
    <t>creativeArtsTotal</t>
  </si>
  <si>
    <t>owopCA</t>
  </si>
  <si>
    <t>owopTest</t>
  </si>
  <si>
    <t>owopTotal</t>
  </si>
  <si>
    <t>computingCA</t>
  </si>
  <si>
    <t>computingTest</t>
  </si>
  <si>
    <t>computingTotal</t>
  </si>
  <si>
    <t>GHLanguageCA</t>
  </si>
  <si>
    <t>GHLanguageTest</t>
  </si>
  <si>
    <t>GHLanguageTotal</t>
  </si>
  <si>
    <t>Overal Marks</t>
  </si>
  <si>
    <t>Name:</t>
  </si>
  <si>
    <t>CLASS:</t>
  </si>
  <si>
    <t>BASIC 1</t>
  </si>
  <si>
    <t>DATE:</t>
  </si>
  <si>
    <t xml:space="preserve">NEXT TIME BEGINS: </t>
  </si>
  <si>
    <t>SUBJECT</t>
  </si>
  <si>
    <t>CLASS SCORE</t>
  </si>
  <si>
    <t>EXAM SCORE</t>
  </si>
  <si>
    <t>TOTAL SCORE</t>
  </si>
  <si>
    <t>POSITION</t>
  </si>
  <si>
    <t>REMARKS</t>
  </si>
  <si>
    <t>ATTENDANCE</t>
  </si>
  <si>
    <t>OUT OF TOTAL OF</t>
  </si>
  <si>
    <t xml:space="preserve">PROMOTED TO: </t>
  </si>
  <si>
    <t>BASIC 5</t>
  </si>
  <si>
    <t>CONDUCT:</t>
  </si>
  <si>
    <t>COOPERATIVE</t>
  </si>
  <si>
    <t>ATTITUDE:</t>
  </si>
  <si>
    <t>CONSISTENT EFFORT</t>
  </si>
  <si>
    <t>INTEREST:</t>
  </si>
  <si>
    <t>TEACHER'S REMARKS:</t>
  </si>
  <si>
    <t>SHOWS IMPROVEMENT</t>
  </si>
  <si>
    <t>HEADTEACHER'S REMARKS: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</si>
</sst>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8" tint="-0.499984740745262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5" tint="-0.25"/>
      <name val="Keep Calm Med"/>
      <charset val="134"/>
    </font>
    <font>
      <sz val="14"/>
      <color theme="0"/>
      <name val="Dubai Medium"/>
      <charset val="0"/>
    </font>
    <font>
      <sz val="14"/>
      <color theme="0"/>
      <name val="Dubai Medium"/>
      <charset val="134"/>
    </font>
    <font>
      <b/>
      <sz val="12"/>
      <color theme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theme="8" tint="-0.25"/>
      </left>
      <right/>
      <top style="thick">
        <color theme="8" tint="-0.25"/>
      </top>
      <bottom style="thick">
        <color theme="8" tint="-0.25"/>
      </bottom>
      <diagonal/>
    </border>
    <border>
      <left/>
      <right/>
      <top style="thick">
        <color theme="8" tint="-0.25"/>
      </top>
      <bottom style="thick">
        <color theme="8" tint="-0.25"/>
      </bottom>
      <diagonal/>
    </border>
    <border>
      <left/>
      <right style="thick">
        <color theme="8" tint="-0.25"/>
      </right>
      <top style="thick">
        <color theme="8" tint="-0.25"/>
      </top>
      <bottom style="thick">
        <color theme="8" tint="-0.25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  <border>
      <left style="medium">
        <color theme="9" tint="-0.25"/>
      </left>
      <right style="medium">
        <color theme="9" tint="-0.25"/>
      </right>
      <top style="medium">
        <color theme="9" tint="-0.25"/>
      </top>
      <bottom style="medium">
        <color theme="9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8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30" applyNumberFormat="0" applyAlignment="0" applyProtection="0">
      <alignment vertical="center"/>
    </xf>
    <xf numFmtId="0" fontId="20" fillId="9" borderId="31" applyNumberFormat="0" applyAlignment="0" applyProtection="0">
      <alignment vertical="center"/>
    </xf>
    <xf numFmtId="0" fontId="21" fillId="9" borderId="30" applyNumberFormat="0" applyAlignment="0" applyProtection="0">
      <alignment vertical="center"/>
    </xf>
    <xf numFmtId="0" fontId="22" fillId="10" borderId="32" applyNumberFormat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4" xfId="0" applyFont="1" applyFill="1" applyBorder="1" applyAlignment="1">
      <alignment horizontal="left" vertical="center"/>
    </xf>
    <xf numFmtId="0" fontId="3" fillId="0" borderId="5" xfId="0" applyFont="1" applyFill="1" applyBorder="1" applyAlignment="1" applyProtection="1">
      <alignment horizontal="left" vertical="center"/>
      <protection locked="0"/>
    </xf>
    <xf numFmtId="0" fontId="3" fillId="0" borderId="6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/>
    <xf numFmtId="0" fontId="0" fillId="0" borderId="0" xfId="0" applyFill="1" applyBorder="1" applyAlignment="1" applyProtection="1">
      <protection locked="0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178" fontId="3" fillId="0" borderId="0" xfId="0" applyNumberFormat="1" applyFont="1" applyFill="1" applyAlignment="1" applyProtection="1">
      <alignment horizontal="center" vertical="center"/>
      <protection locked="0"/>
    </xf>
    <xf numFmtId="178" fontId="0" fillId="0" borderId="0" xfId="0" applyNumberFormat="1" applyFill="1" applyAlignment="1" applyProtection="1">
      <alignment vertical="center"/>
      <protection locked="0"/>
    </xf>
    <xf numFmtId="0" fontId="0" fillId="0" borderId="0" xfId="0" applyFill="1" applyAlignment="1">
      <alignment vertical="center"/>
    </xf>
    <xf numFmtId="0" fontId="4" fillId="2" borderId="7" xfId="0" applyFont="1" applyFill="1" applyBorder="1" applyAlignment="1" applyProtection="1">
      <alignment horizontal="center" wrapText="1"/>
      <protection hidden="1"/>
    </xf>
    <xf numFmtId="0" fontId="1" fillId="2" borderId="7" xfId="0" applyFont="1" applyFill="1" applyBorder="1" applyAlignment="1" applyProtection="1">
      <alignment horizontal="left"/>
      <protection hidden="1"/>
    </xf>
    <xf numFmtId="0" fontId="0" fillId="2" borderId="7" xfId="0" applyNumberFormat="1" applyFill="1" applyBorder="1" applyAlignment="1" applyProtection="1">
      <alignment horizontal="center"/>
      <protection hidden="1"/>
    </xf>
    <xf numFmtId="0" fontId="5" fillId="2" borderId="7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0" xfId="0" applyFont="1" applyFill="1" applyBorder="1" applyAlignment="1">
      <alignment horizontal="centerContinuous"/>
    </xf>
    <xf numFmtId="0" fontId="0" fillId="0" borderId="0" xfId="0" applyFill="1" applyBorder="1" applyAlignment="1">
      <alignment horizontal="centerContinuous"/>
    </xf>
    <xf numFmtId="0" fontId="0" fillId="0" borderId="0" xfId="0" applyFill="1" applyAlignment="1" applyProtection="1">
      <alignment horizontal="left"/>
      <protection locked="0"/>
    </xf>
    <xf numFmtId="0" fontId="0" fillId="0" borderId="0" xfId="0" applyFill="1" applyBorder="1" applyAlignment="1"/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1" fillId="0" borderId="0" xfId="0" applyFont="1" applyFill="1" applyAlignment="1" applyProtection="1">
      <alignment horizontal="left"/>
      <protection locked="0"/>
    </xf>
    <xf numFmtId="0" fontId="0" fillId="0" borderId="0" xfId="0" applyFill="1" applyAlignment="1">
      <alignment horizontal="centerContinuous"/>
    </xf>
    <xf numFmtId="0" fontId="0" fillId="0" borderId="0" xfId="0" applyFill="1" applyAlignment="1"/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>
      <alignment vertical="center"/>
    </xf>
    <xf numFmtId="0" fontId="0" fillId="0" borderId="11" xfId="0" applyFill="1" applyBorder="1" applyAlignment="1"/>
    <xf numFmtId="0" fontId="0" fillId="0" borderId="11" xfId="0" applyFill="1" applyBorder="1" applyAlignment="1">
      <alignment horizontal="centerContinuous"/>
    </xf>
    <xf numFmtId="0" fontId="0" fillId="0" borderId="12" xfId="0" applyBorder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13" xfId="0" applyNumberFormat="1" applyBorder="1">
      <alignment vertical="center"/>
    </xf>
    <xf numFmtId="0" fontId="0" fillId="0" borderId="13" xfId="0" applyBorder="1">
      <alignment vertical="center"/>
    </xf>
    <xf numFmtId="0" fontId="6" fillId="3" borderId="14" xfId="0" applyFont="1" applyFill="1" applyBorder="1" applyAlignment="1"/>
    <xf numFmtId="0" fontId="6" fillId="3" borderId="15" xfId="0" applyFont="1" applyFill="1" applyBorder="1" applyAlignment="1"/>
    <xf numFmtId="0" fontId="6" fillId="3" borderId="15" xfId="0" applyFont="1" applyFill="1" applyBorder="1" applyAlignment="1">
      <alignment horizontal="centerContinuous"/>
    </xf>
    <xf numFmtId="0" fontId="0" fillId="0" borderId="0" xfId="0" applyNumberFormat="1">
      <alignment vertical="center"/>
    </xf>
    <xf numFmtId="0" fontId="0" fillId="0" borderId="0" xfId="0" applyProtection="1">
      <alignment vertical="center"/>
      <protection locked="0"/>
    </xf>
    <xf numFmtId="0" fontId="6" fillId="3" borderId="16" xfId="0" applyFont="1" applyFill="1" applyBorder="1" applyAlignment="1"/>
    <xf numFmtId="0" fontId="0" fillId="0" borderId="0" xfId="0" applyAlignment="1">
      <alignment horizontal="center" vertical="center"/>
    </xf>
    <xf numFmtId="0" fontId="0" fillId="4" borderId="14" xfId="0" applyNumberFormat="1" applyFont="1" applyFill="1" applyBorder="1" applyAlignment="1"/>
    <xf numFmtId="0" fontId="0" fillId="0" borderId="14" xfId="0" applyNumberFormat="1" applyFont="1" applyFill="1" applyBorder="1" applyAlignment="1"/>
    <xf numFmtId="0" fontId="0" fillId="0" borderId="14" xfId="0" applyNumberFormat="1" applyFont="1" applyFill="1" applyBorder="1" applyAlignment="1">
      <alignment vertical="center"/>
    </xf>
    <xf numFmtId="0" fontId="0" fillId="4" borderId="14" xfId="0" applyFont="1" applyFill="1" applyBorder="1" applyAlignment="1" applyProtection="1">
      <protection locked="0"/>
    </xf>
    <xf numFmtId="0" fontId="0" fillId="0" borderId="14" xfId="0" applyFont="1" applyFill="1" applyBorder="1" applyAlignment="1" applyProtection="1">
      <protection locked="0"/>
    </xf>
    <xf numFmtId="0" fontId="0" fillId="0" borderId="14" xfId="0" applyFont="1" applyFill="1" applyBorder="1" applyAlignment="1" applyProtection="1">
      <alignment vertical="center"/>
      <protection locked="0"/>
    </xf>
    <xf numFmtId="0" fontId="7" fillId="5" borderId="17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left" vertical="center"/>
    </xf>
    <xf numFmtId="0" fontId="7" fillId="5" borderId="19" xfId="0" applyFont="1" applyFill="1" applyBorder="1" applyAlignment="1">
      <alignment horizontal="left" vertical="center"/>
    </xf>
    <xf numFmtId="0" fontId="0" fillId="0" borderId="20" xfId="0" applyBorder="1">
      <alignment vertical="center"/>
    </xf>
    <xf numFmtId="0" fontId="8" fillId="6" borderId="21" xfId="6" applyFont="1" applyFill="1" applyBorder="1" applyAlignment="1">
      <alignment horizontal="left" vertical="center"/>
    </xf>
    <xf numFmtId="0" fontId="8" fillId="6" borderId="0" xfId="6" applyFont="1" applyFill="1" applyAlignment="1">
      <alignment horizontal="left" vertical="center"/>
    </xf>
    <xf numFmtId="0" fontId="8" fillId="6" borderId="22" xfId="6" applyFont="1" applyFill="1" applyBorder="1" applyAlignment="1">
      <alignment horizontal="left" vertical="center"/>
    </xf>
    <xf numFmtId="9" fontId="0" fillId="0" borderId="20" xfId="0" applyNumberFormat="1" applyBorder="1" applyProtection="1">
      <alignment vertical="center"/>
      <protection locked="0"/>
    </xf>
    <xf numFmtId="0" fontId="8" fillId="6" borderId="23" xfId="6" applyFont="1" applyFill="1" applyBorder="1" applyAlignment="1">
      <alignment horizontal="left" vertical="center"/>
    </xf>
    <xf numFmtId="0" fontId="8" fillId="6" borderId="24" xfId="6" applyFont="1" applyFill="1" applyBorder="1" applyAlignment="1">
      <alignment horizontal="left" vertical="center"/>
    </xf>
    <xf numFmtId="0" fontId="8" fillId="6" borderId="25" xfId="6" applyFont="1" applyFill="1" applyBorder="1" applyAlignment="1">
      <alignment horizontal="left" vertical="center"/>
    </xf>
    <xf numFmtId="0" fontId="8" fillId="6" borderId="0" xfId="6" applyFont="1" applyFill="1">
      <alignment vertical="center"/>
    </xf>
    <xf numFmtId="0" fontId="9" fillId="6" borderId="0" xfId="0" applyFont="1" applyFill="1">
      <alignment vertical="center"/>
    </xf>
    <xf numFmtId="0" fontId="0" fillId="0" borderId="26" xfId="0" applyBorder="1">
      <alignment vertical="center"/>
    </xf>
    <xf numFmtId="0" fontId="10" fillId="0" borderId="0" xfId="0" applyFont="1" applyAlignment="1">
      <alignment horizontal="center" vertical="center" wrapText="1"/>
    </xf>
    <xf numFmtId="0" fontId="0" fillId="0" borderId="26" xfId="0" applyBorder="1" applyProtection="1">
      <alignment vertical="center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9">
    <dxf>
      <protection locked="0"/>
    </dxf>
    <dxf>
      <protection locked="0"/>
    </dxf>
    <dxf>
      <protection locked="0"/>
    </dxf>
    <dxf>
      <numFmt numFmtId="0" formatCode="General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0" formatCode="General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8"/>
      <tableStyleElement type="headerRow" dxfId="87"/>
      <tableStyleElement type="totalRow" dxfId="86"/>
      <tableStyleElement type="firstColumn" dxfId="85"/>
      <tableStyleElement type="lastColumn" dxfId="84"/>
      <tableStyleElement type="firstRowStripe" dxfId="83"/>
      <tableStyleElement type="firstColumnStripe" dxfId="82"/>
    </tableStyle>
    <tableStyle name="PivotStylePreset2_Accent1" table="0" count="10" xr9:uid="{267968C8-6FFD-4C36-ACC1-9EA1FD1885CA}">
      <tableStyleElement type="headerRow" dxfId="98"/>
      <tableStyleElement type="totalRow" dxfId="97"/>
      <tableStyleElement type="firstRowStripe" dxfId="96"/>
      <tableStyleElement type="firstColumnStripe" dxfId="95"/>
      <tableStyleElement type="firstSubtotalRow" dxfId="94"/>
      <tableStyleElement type="secondSubtotalRow" dxfId="93"/>
      <tableStyleElement type="firstRowSubheading" dxfId="92"/>
      <tableStyleElement type="secondRowSubheading" dxfId="91"/>
      <tableStyleElement type="pageFieldLabels" dxfId="90"/>
      <tableStyleElement type="pageFieldValues" dxfId="8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127000</xdr:colOff>
      <xdr:row>0</xdr:row>
      <xdr:rowOff>69850</xdr:rowOff>
    </xdr:from>
    <xdr:to>
      <xdr:col>6</xdr:col>
      <xdr:colOff>488950</xdr:colOff>
      <xdr:row>22</xdr:row>
      <xdr:rowOff>162560</xdr:rowOff>
    </xdr:to>
    <xdr:sp>
      <xdr:nvSpPr>
        <xdr:cNvPr id="2" name="Text Box 1"/>
        <xdr:cNvSpPr txBox="1"/>
      </xdr:nvSpPr>
      <xdr:spPr>
        <a:xfrm>
          <a:off x="2470150" y="69850"/>
          <a:ext cx="2190750" cy="502666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/>
        </a:lnRef>
        <a:fillRef idx="2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Ins="0" rtlCol="0" anchor="t">
          <a:scene3d>
            <a:camera prst="orthographicFront"/>
            <a:lightRig rig="threePt" dir="t"/>
          </a:scene3d>
        </a:bodyPr>
        <a:p>
          <a:pPr algn="l"/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</a:rPr>
            <a:t>First, familirize yourself with the tabs. You can use the link </a:t>
          </a:r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  <a:sym typeface="+mn-ea"/>
            </a:rPr>
            <a:t>HERE</a:t>
          </a:r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</a:rPr>
            <a:t>👈  to navigate the tabs</a:t>
          </a:r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</a:rPr>
            <a:t>Again, In this section, SELECT your  Test conversion and Assessment Conversion Percentages</a:t>
          </a:r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</a:rPr>
            <a:t>USE the “Student Names” tab to Enter Your Student Names</a:t>
          </a:r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  <a:p>
          <a:pPr algn="l"/>
          <a:r>
            <a:rPr lang="en-US" altLang="en-GB" sz="1400">
              <a:solidFill>
                <a:schemeClr val="bg1"/>
              </a:solidFill>
              <a:effectLst>
                <a:glow rad="533400">
                  <a:schemeClr val="accent1">
                    <a:alpha val="40000"/>
                  </a:schemeClr>
                </a:glow>
                <a:outerShdw blurRad="50800" dist="38100" dir="8100000" algn="tr" rotWithShape="0">
                  <a:prstClr val="black">
                    <a:alpha val="40000"/>
                  </a:prstClr>
                </a:outerShdw>
              </a:effectLst>
              <a:latin typeface="Segoe UI Semibold" panose="020B0702040204020203" charset="0"/>
              <a:cs typeface="Segoe UI Semibold" panose="020B0702040204020203" charset="0"/>
            </a:rPr>
            <a:t>You can Use the ContinuousAssessment Tab to record  Learners marks and the testResults for their exam Scores</a:t>
          </a:r>
          <a:endParaRPr lang="en-US" altLang="en-GB" sz="1400">
            <a:solidFill>
              <a:schemeClr val="bg1"/>
            </a:solidFill>
            <a:effectLst>
              <a:glow rad="533400">
                <a:schemeClr val="accent1">
                  <a:alpha val="40000"/>
                </a:schemeClr>
              </a:glow>
              <a:outerShdw blurRad="50800" dist="38100" dir="8100000" algn="tr" rotWithShape="0">
                <a:prstClr val="black">
                  <a:alpha val="40000"/>
                </a:prstClr>
              </a:outerShdw>
            </a:effectLst>
            <a:latin typeface="Segoe UI Semibold" panose="020B0702040204020203" charset="0"/>
            <a:cs typeface="Segoe UI Semibold" panose="020B0702040204020203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6" name="Table6" displayName="Table6" ref="H3:I4" totalsRowShown="0">
  <tableColumns count="2">
    <tableColumn id="1" name="Test Percentage" dataDxfId="0"/>
    <tableColumn id="2" name="Continuous Assessment Percentage" dataDxfId="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A62" totalsRowShown="0">
  <autoFilter xmlns:etc="http://www.wps.cn/officeDocument/2017/etCustomData" ref="A1:A62" etc:filterBottomFollowUsedRange="0"/>
  <sortState ref="A2:A62">
    <sortCondition ref="A1"/>
  </sortState>
  <tableColumns count="1">
    <tableColumn id="1" name="NAME" dataDxfId="2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5:AK54" totalsRowShown="0">
  <autoFilter xmlns:etc="http://www.wps.cn/officeDocument/2017/etCustomData" ref="A5:AK54" etc:filterBottomFollowUsedRange="0"/>
  <tableColumns count="37">
    <tableColumn id="1" name="NAME" dataDxfId="3">
      <calculatedColumnFormula>'Students Names'!$A2</calculatedColumnFormula>
    </tableColumn>
    <tableColumn id="2" name="english test1" dataDxfId="4"/>
    <tableColumn id="3" name="english test2" dataDxfId="5"/>
    <tableColumn id="4" name="english test3" dataDxfId="6"/>
    <tableColumn id="5" name="english test4" dataDxfId="7"/>
    <tableColumn id="6" name="math test1" dataDxfId="8"/>
    <tableColumn id="7" name="math test2" dataDxfId="9"/>
    <tableColumn id="8" name="math test3" dataDxfId="10"/>
    <tableColumn id="9" name="math test4" dataDxfId="11"/>
    <tableColumn id="10" name="science test1" dataDxfId="12"/>
    <tableColumn id="11" name="science test2" dataDxfId="13"/>
    <tableColumn id="12" name="science test3" dataDxfId="14"/>
    <tableColumn id="13" name="science test4" dataDxfId="15"/>
    <tableColumn id="14" name="history test1" dataDxfId="16"/>
    <tableColumn id="15" name="history test2" dataDxfId="17"/>
    <tableColumn id="16" name="history test3" dataDxfId="18"/>
    <tableColumn id="17" name="history test4" dataDxfId="19"/>
    <tableColumn id="18" name="rme test1" dataDxfId="20"/>
    <tableColumn id="19" name="rme test2" dataDxfId="21"/>
    <tableColumn id="20" name="rme test3" dataDxfId="22"/>
    <tableColumn id="21" name="rme test4" dataDxfId="23"/>
    <tableColumn id="22" name="arts test1" dataDxfId="24"/>
    <tableColumn id="23" name="arts test2" dataDxfId="25"/>
    <tableColumn id="24" name="arts test3" dataDxfId="26"/>
    <tableColumn id="25" name="arts test4" dataDxfId="27"/>
    <tableColumn id="26" name="owop test1" dataDxfId="28"/>
    <tableColumn id="27" name="owop test2" dataDxfId="29"/>
    <tableColumn id="28" name="owop test3" dataDxfId="30"/>
    <tableColumn id="29" name="owop test4" dataDxfId="31"/>
    <tableColumn id="30" name="computing test1" dataDxfId="32"/>
    <tableColumn id="31" name="computing test2" dataDxfId="33"/>
    <tableColumn id="32" name="computing test3" dataDxfId="34"/>
    <tableColumn id="33" name="computing test4" dataDxfId="35"/>
    <tableColumn id="34" name="ghLanguage test1" dataDxfId="36"/>
    <tableColumn id="35" name="ghLanguage test2" dataDxfId="37"/>
    <tableColumn id="36" name="ghLanguage test3" dataDxfId="38"/>
    <tableColumn id="37" name="ghLanguage test4" dataDxfId="39"/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J80" totalsRowShown="0">
  <autoFilter xmlns:etc="http://www.wps.cn/officeDocument/2017/etCustomData" ref="A1:J80" etc:filterBottomFollowUsedRange="0"/>
  <tableColumns count="10">
    <tableColumn id="1" name="NAME" dataDxfId="40">
      <calculatedColumnFormula>'Students Names'!$A2</calculatedColumnFormula>
    </tableColumn>
    <tableColumn id="2" name="ENGLISH" dataDxfId="41"/>
    <tableColumn id="3" name="MATHEMATICS" dataDxfId="42"/>
    <tableColumn id="4" name="SCIENCE" dataDxfId="43"/>
    <tableColumn id="5" name="HISTORY" dataDxfId="44"/>
    <tableColumn id="6" name="RME" dataDxfId="45"/>
    <tableColumn id="7" name="CREATIVE ARTS" dataDxfId="46"/>
    <tableColumn id="8" name="OWOP" dataDxfId="47"/>
    <tableColumn id="9" name="COMPUTING" dataDxfId="48"/>
    <tableColumn id="10" name="DAGBANI" dataDxfId="49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1" name="tboverall" displayName="tboverall" ref="A2:AC54" totalsRowShown="0">
  <autoFilter xmlns:etc="http://www.wps.cn/officeDocument/2017/etCustomData" ref="A2:AC54" etc:filterBottomFollowUsedRange="0"/>
  <tableColumns count="29">
    <tableColumn id="1" name="name of student" dataDxfId="50">
      <calculatedColumnFormula>'Students Names'!$A2</calculatedColumnFormula>
    </tableColumn>
    <tableColumn id="2" name="englishCA" dataDxfId="51">
      <calculatedColumnFormula>IFERROR(Guide!$I$4*(SUM(ContinuousAssessment!B6:E6)/COUNTA(ContinuousAssessment!B6:E6)),"")</calculatedColumnFormula>
    </tableColumn>
    <tableColumn id="3" name="englishTest" dataDxfId="52">
      <calculatedColumnFormula>Guide!$H$4*testResults!B2</calculatedColumnFormula>
    </tableColumn>
    <tableColumn id="4" name="englishTotal" dataDxfId="53">
      <calculatedColumnFormula>SUM(B3:C54)</calculatedColumnFormula>
    </tableColumn>
    <tableColumn id="5" name="mathCA" dataDxfId="54">
      <calculatedColumnFormula>IFERROR(Guide!$I$4*(SUM(ContinuousAssessment!$F6:$I6)/COUNTA(ContinuousAssessment!$F6:$I6)),"")</calculatedColumnFormula>
    </tableColumn>
    <tableColumn id="6" name="mathTest" dataDxfId="55">
      <calculatedColumnFormula>Guide!$H$4*testResults!C2</calculatedColumnFormula>
    </tableColumn>
    <tableColumn id="7" name="mathTotal" dataDxfId="56">
      <calculatedColumnFormula>SUM(E3:F54)</calculatedColumnFormula>
    </tableColumn>
    <tableColumn id="8" name="scienceCA" dataDxfId="57">
      <calculatedColumnFormula>IFERROR(Guide!$I$4*SUM(ContinuousAssessment!$J6:$M6)/COUNTA(ContinuousAssessment!$J6:$M6),"")</calculatedColumnFormula>
    </tableColumn>
    <tableColumn id="9" name="scienceTest" dataDxfId="58">
      <calculatedColumnFormula>Guide!$H$4*testResults!D2</calculatedColumnFormula>
    </tableColumn>
    <tableColumn id="10" name="scienceTotal" dataDxfId="59">
      <calculatedColumnFormula>SUM(H3:I54)</calculatedColumnFormula>
    </tableColumn>
    <tableColumn id="11" name="historyCA" dataDxfId="60">
      <calculatedColumnFormula>IFERROR(SUM(ContinuousAssessment!$N6:$Q6)/COUNTA(ContinuousAssessment!$N6:$Q6)*Guide!$I$4,"")</calculatedColumnFormula>
    </tableColumn>
    <tableColumn id="12" name="historyTest" dataDxfId="61">
      <calculatedColumnFormula>Guide!$H$4*testResults!$E2</calculatedColumnFormula>
    </tableColumn>
    <tableColumn id="13" name="historyTotal" dataDxfId="62">
      <calculatedColumnFormula>SUM(K3:L54)</calculatedColumnFormula>
    </tableColumn>
    <tableColumn id="14" name="rmeCA" dataDxfId="63">
      <calculatedColumnFormula>IFERROR(Guide!$I$4*(SUM(ContinuousAssessment!$R6:$U6))/COUNTA(ContinuousAssessment!R6:U6),"")</calculatedColumnFormula>
    </tableColumn>
    <tableColumn id="15" name="rmeTest" dataDxfId="64">
      <calculatedColumnFormula>Guide!$H$4*testResults!F2</calculatedColumnFormula>
    </tableColumn>
    <tableColumn id="16" name="rmeTotal" dataDxfId="65">
      <calculatedColumnFormula>SUM(N3:O54)</calculatedColumnFormula>
    </tableColumn>
    <tableColumn id="17" name="creativeArtsCA" dataDxfId="66">
      <calculatedColumnFormula>IFERROR(Guide!$I$4*(SUM(ContinuousAssessment!$V6:$Y6)/COUNTA(ContinuousAssessment!$V6:$Y6)),"")</calculatedColumnFormula>
    </tableColumn>
    <tableColumn id="18" name="creativeArtsTest" dataDxfId="67">
      <calculatedColumnFormula>Guide!$H$4*testResults!G2</calculatedColumnFormula>
    </tableColumn>
    <tableColumn id="19" name="creativeArtsTotal" dataDxfId="68">
      <calculatedColumnFormula>SUM(Q3:R54)</calculatedColumnFormula>
    </tableColumn>
    <tableColumn id="20" name="owopCA" dataDxfId="69">
      <calculatedColumnFormula>IFERROR(Guide!$I$4*(SUM(ContinuousAssessment!$Z6:$AC6))/COUNTA(ContinuousAssessment!$Z6:$AC6),"")</calculatedColumnFormula>
    </tableColumn>
    <tableColumn id="21" name="owopTest" dataDxfId="70">
      <calculatedColumnFormula>Guide!$H$4*testResults!H2</calculatedColumnFormula>
    </tableColumn>
    <tableColumn id="22" name="owopTotal" dataDxfId="71">
      <calculatedColumnFormula>SUM(T3:U54)</calculatedColumnFormula>
    </tableColumn>
    <tableColumn id="23" name="computingCA" dataDxfId="72">
      <calculatedColumnFormula>IFERROR(((SUM(ContinuousAssessment!$AD6:$AF6))/COUNTA(ContinuousAssessment!$AD6:$AF6))*Guide!$I$4,"")</calculatedColumnFormula>
    </tableColumn>
    <tableColumn id="24" name="computingTest" dataDxfId="73">
      <calculatedColumnFormula>Guide!$H$4*testResults!I2</calculatedColumnFormula>
    </tableColumn>
    <tableColumn id="25" name="computingTotal" dataDxfId="74">
      <calculatedColumnFormula>SUM(W3:X54)</calculatedColumnFormula>
    </tableColumn>
    <tableColumn id="26" name="GHLanguageCA" dataDxfId="75">
      <calculatedColumnFormula>IFERROR((SUM(ContinuousAssessment!$AH6:$AK6)/COUNTA(ContinuousAssessment!AH6:AK6))*Guide!$I$4,"")</calculatedColumnFormula>
    </tableColumn>
    <tableColumn id="27" name="GHLanguageTest" dataDxfId="76">
      <calculatedColumnFormula>testResults!J2*Guide!$H$4</calculatedColumnFormula>
    </tableColumn>
    <tableColumn id="28" name="GHLanguageTotal" dataDxfId="77">
      <calculatedColumnFormula>SUM(Z3:AA54)</calculatedColumnFormula>
    </tableColumn>
    <tableColumn id="29" name="Overal Marks" dataDxfId="78">
      <calculatedColumnFormula>SUM(AB3,Y3,V3,S3,P3,M3,J3,G3,D3,)</calculatedColumnFormula>
    </tableColumn>
  </tableColumns>
  <tableStyleInfo name="TableStylePreset3_Accent1" showFirstColumn="0" showLastColumn="0" showRowStripes="1" showColumnStripes="0"/>
</table>
</file>

<file path=xl/tables/table6.xml><?xml version="1.0" encoding="utf-8"?>
<table xmlns="http://schemas.openxmlformats.org/spreadsheetml/2006/main" id="7" name="Table11" displayName="Table11" ref="C8:H17" totalsRowShown="0">
  <tableColumns count="6">
    <tableColumn id="1" name="SUBJECT"/>
    <tableColumn id="2" name="CLASS SCORE" dataDxfId="79">
      <calculatedColumnFormula>_xlfn.XLOOKUP($D$4,overAll!$A$3:$A$54,overAll!Z$3:Z$54)</calculatedColumnFormula>
    </tableColumn>
    <tableColumn id="3" name="EXAM SCORE"/>
    <tableColumn id="4" name="TOTAL SCORE"/>
    <tableColumn id="5" name="POSITION" dataDxfId="80">
      <calculatedColumnFormula>RANK(_xlfn.XLOOKUP($D$4,overAll!$A$3:$A$54,overAll!H$3:H$54),overAll!$M$3:$M$54)</calculatedColumnFormula>
    </tableColumn>
    <tableColumn id="6" name="REMARKS" dataDxfId="81">
      <calculatedColumnFormula>IF(F9&gt;=80,"Excellent",IF(F9&gt;=70,"Very Good",IF(F9&gt;=60,"Good",IF(F9&gt;=45,"Credit",IF(F9&gt;=35,"Pass",IF(F9&lt;35,"Fail"))))))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9"/>
  <sheetViews>
    <sheetView workbookViewId="0">
      <selection activeCell="I9" sqref="I9"/>
    </sheetView>
  </sheetViews>
  <sheetFormatPr defaultColWidth="8.72727272727273" defaultRowHeight="14.5"/>
  <cols>
    <col min="1" max="1" width="21.0909090909091" customWidth="1"/>
    <col min="3" max="3" width="3.72727272727273" customWidth="1"/>
    <col min="8" max="8" width="29.2727272727273" customWidth="1"/>
    <col min="9" max="9" width="34.0909090909091" customWidth="1"/>
  </cols>
  <sheetData>
    <row r="2" ht="15.25"/>
    <row r="3" ht="18" spans="1:9">
      <c r="A3" s="58" t="s">
        <v>0</v>
      </c>
      <c r="B3" s="59"/>
      <c r="C3" s="60"/>
      <c r="H3" s="61" t="s">
        <v>1</v>
      </c>
      <c r="I3" s="61" t="s">
        <v>2</v>
      </c>
    </row>
    <row r="4" ht="28" spans="1:9">
      <c r="A4" s="62" t="s">
        <v>3</v>
      </c>
      <c r="B4" s="63"/>
      <c r="C4" s="64"/>
      <c r="H4" s="65">
        <v>0.7</v>
      </c>
      <c r="I4" s="65">
        <v>0.3</v>
      </c>
    </row>
    <row r="5" ht="27.25" spans="1:3">
      <c r="A5" s="62" t="s">
        <v>4</v>
      </c>
      <c r="B5" s="63"/>
      <c r="C5" s="64"/>
    </row>
    <row r="6" ht="27.25" spans="1:9">
      <c r="A6" s="66" t="s">
        <v>5</v>
      </c>
      <c r="B6" s="67"/>
      <c r="C6" s="68"/>
      <c r="I6" s="72" t="str">
        <f>IF($I$4+H4=100%,"SUCCESS","Test Percentage and Continuous Assessment Percentage MUST sum to 100%. It should not be LESS or MORE")</f>
        <v>SUCCESS</v>
      </c>
    </row>
    <row r="7" ht="27.25" spans="1:3">
      <c r="A7" s="69" t="s">
        <v>6</v>
      </c>
      <c r="B7" s="70"/>
      <c r="C7" s="70"/>
    </row>
    <row r="8" ht="27.25" spans="1:3">
      <c r="A8" s="69" t="s">
        <v>7</v>
      </c>
      <c r="B8" s="70"/>
      <c r="C8" s="70"/>
    </row>
    <row r="9" ht="15.25" spans="8:9">
      <c r="H9" s="71" t="s">
        <v>8</v>
      </c>
      <c r="I9" s="73" t="s">
        <v>9</v>
      </c>
    </row>
  </sheetData>
  <sheetProtection sheet="1" objects="1"/>
  <mergeCells count="4">
    <mergeCell ref="A3:C3"/>
    <mergeCell ref="A4:C4"/>
    <mergeCell ref="A5:C5"/>
    <mergeCell ref="A6:C6"/>
  </mergeCells>
  <dataValidations count="1">
    <dataValidation type="list" allowBlank="1" showInputMessage="1" showErrorMessage="1" sqref="H4:I4">
      <formula1>"80%, 75%, 70%, 65%, 60%,55%,50%, 45%,40%,35%,30%,25%,20%,15%,10%, 5%, 0%"</formula1>
    </dataValidation>
  </dataValidations>
  <hyperlinks>
    <hyperlink ref="A4" location="ContinuousAssessment!A1" display="Continuos Assesssment"/>
    <hyperlink ref="A5:C5" location="overAll!A1" display="OverAll"/>
    <hyperlink ref="A6:C6" location="reportCards!A1" display="reportCards"/>
    <hyperlink ref="A7" location="'Students Names'!A1" display="Student Names"/>
    <hyperlink ref="A8" location="testResults!A1" display="Test Results"/>
  </hyperlinks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workbookViewId="0">
      <selection activeCell="A6" sqref="A6"/>
    </sheetView>
  </sheetViews>
  <sheetFormatPr defaultColWidth="8.72727272727273" defaultRowHeight="14.5"/>
  <cols>
    <col min="1" max="1" width="25.8181818181818" customWidth="1"/>
  </cols>
  <sheetData>
    <row r="1" spans="1:1">
      <c r="A1" s="45" t="s">
        <v>10</v>
      </c>
    </row>
    <row r="2" spans="1:1">
      <c r="A2" s="55" t="s">
        <v>11</v>
      </c>
    </row>
    <row r="3" spans="1:1">
      <c r="A3" s="55" t="s">
        <v>12</v>
      </c>
    </row>
    <row r="4" spans="1:1">
      <c r="A4" s="55" t="s">
        <v>13</v>
      </c>
    </row>
    <row r="5" spans="1:1">
      <c r="A5" s="56" t="s">
        <v>14</v>
      </c>
    </row>
    <row r="6" spans="1:1">
      <c r="A6" s="56" t="s">
        <v>15</v>
      </c>
    </row>
    <row r="7" spans="1:1">
      <c r="A7" s="56"/>
    </row>
    <row r="8" spans="1:1">
      <c r="A8" s="55"/>
    </row>
    <row r="9" spans="1:1">
      <c r="A9" s="56"/>
    </row>
    <row r="10" spans="1:1">
      <c r="A10" s="55"/>
    </row>
    <row r="11" spans="1:1">
      <c r="A11" s="56"/>
    </row>
    <row r="12" spans="1:1">
      <c r="A12" s="55"/>
    </row>
    <row r="13" spans="1:1">
      <c r="A13" s="56"/>
    </row>
    <row r="14" spans="1:1">
      <c r="A14" s="55"/>
    </row>
    <row r="15" spans="1:1">
      <c r="A15" s="56"/>
    </row>
    <row r="16" spans="1:1">
      <c r="A16" s="55"/>
    </row>
    <row r="17" spans="1:1">
      <c r="A17" s="56"/>
    </row>
    <row r="18" spans="1:1">
      <c r="A18" s="55"/>
    </row>
    <row r="19" spans="1:1">
      <c r="A19" s="56"/>
    </row>
    <row r="20" spans="1:1">
      <c r="A20" s="55"/>
    </row>
    <row r="21" spans="1:1">
      <c r="A21" s="56"/>
    </row>
    <row r="22" spans="1:1">
      <c r="A22" s="55"/>
    </row>
    <row r="23" spans="1:1">
      <c r="A23" s="56"/>
    </row>
    <row r="24" spans="1:1">
      <c r="A24" s="55"/>
    </row>
    <row r="25" spans="1:1">
      <c r="A25" s="57"/>
    </row>
    <row r="26" spans="1:1">
      <c r="A26" s="55"/>
    </row>
    <row r="27" spans="1:1">
      <c r="A27" s="56"/>
    </row>
    <row r="28" spans="1:1">
      <c r="A28" s="55"/>
    </row>
    <row r="29" spans="1:1">
      <c r="A29" s="56"/>
    </row>
    <row r="30" spans="1:1">
      <c r="A30" s="55"/>
    </row>
    <row r="31" spans="1:1">
      <c r="A31" s="56"/>
    </row>
    <row r="32" spans="1:1">
      <c r="A32" s="55"/>
    </row>
    <row r="33" spans="1:1">
      <c r="A33" s="56"/>
    </row>
    <row r="34" spans="1:1">
      <c r="A34" s="55"/>
    </row>
    <row r="35" spans="1:1">
      <c r="A35" s="56"/>
    </row>
    <row r="36" spans="1:1">
      <c r="A36" s="55"/>
    </row>
    <row r="37" spans="1:1">
      <c r="A37" s="56"/>
    </row>
    <row r="38" spans="1:1">
      <c r="A38" s="55"/>
    </row>
    <row r="39" spans="1:1">
      <c r="A39" s="56"/>
    </row>
    <row r="40" spans="1:1">
      <c r="A40" s="49"/>
    </row>
    <row r="41" spans="1:1">
      <c r="A41" s="49"/>
    </row>
    <row r="42" spans="1:1">
      <c r="A42" s="49"/>
    </row>
    <row r="43" spans="1:1">
      <c r="A43" s="49"/>
    </row>
    <row r="44" spans="1:1">
      <c r="A44" s="49"/>
    </row>
    <row r="45" spans="1:1">
      <c r="A45" s="49"/>
    </row>
    <row r="46" spans="1:1">
      <c r="A46" s="49"/>
    </row>
    <row r="47" spans="1:1">
      <c r="A47" s="49"/>
    </row>
    <row r="48" spans="1:1">
      <c r="A48" s="49"/>
    </row>
    <row r="49" spans="1:1">
      <c r="A49" s="49"/>
    </row>
    <row r="50" spans="1:1">
      <c r="A50" s="49"/>
    </row>
    <row r="51" spans="1:1">
      <c r="A51" s="49"/>
    </row>
    <row r="52" spans="1:1">
      <c r="A52" s="49"/>
    </row>
    <row r="53" spans="1:1">
      <c r="A53" s="49"/>
    </row>
    <row r="54" spans="1:1">
      <c r="A54" s="49"/>
    </row>
    <row r="55" spans="1:1">
      <c r="A55" s="49"/>
    </row>
    <row r="56" spans="1:1">
      <c r="A56" s="49"/>
    </row>
    <row r="57" spans="1:1">
      <c r="A57" s="49"/>
    </row>
    <row r="58" spans="1:1">
      <c r="A58" s="49"/>
    </row>
    <row r="59" spans="1:1">
      <c r="A59" s="49"/>
    </row>
    <row r="60" spans="1:1">
      <c r="A60" s="49"/>
    </row>
    <row r="61" spans="1:1">
      <c r="A61" s="49"/>
    </row>
    <row r="62" spans="1:1">
      <c r="A62" s="49"/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K54"/>
  <sheetViews>
    <sheetView workbookViewId="0">
      <selection activeCell="A13" sqref="A13"/>
    </sheetView>
  </sheetViews>
  <sheetFormatPr defaultColWidth="8.72727272727273" defaultRowHeight="14.5"/>
  <cols>
    <col min="1" max="1" width="28.3636363636364" customWidth="1"/>
    <col min="2" max="5" width="12.3636363636364" customWidth="1"/>
    <col min="6" max="9" width="10.8181818181818" customWidth="1"/>
    <col min="10" max="13" width="12.6363636363636" customWidth="1"/>
    <col min="14" max="17" width="12.3636363636364" customWidth="1"/>
    <col min="18" max="21" width="9.63636363636364" customWidth="1"/>
    <col min="22" max="25" width="9.54545454545454" customWidth="1"/>
    <col min="26" max="29" width="11.1818181818182" customWidth="1"/>
    <col min="30" max="33" width="15.9090909090909" customWidth="1"/>
    <col min="34" max="37" width="16.9090909090909" customWidth="1"/>
  </cols>
  <sheetData>
    <row r="4" spans="2:37">
      <c r="B4" s="51" t="s">
        <v>16</v>
      </c>
      <c r="C4" s="51"/>
      <c r="D4" s="51"/>
      <c r="E4" s="51"/>
      <c r="F4" s="51" t="s">
        <v>17</v>
      </c>
      <c r="G4" s="51"/>
      <c r="H4" s="51"/>
      <c r="I4" s="51"/>
      <c r="J4" s="51" t="s">
        <v>18</v>
      </c>
      <c r="K4" s="51"/>
      <c r="L4" s="51"/>
      <c r="M4" s="51"/>
      <c r="N4" s="51" t="s">
        <v>19</v>
      </c>
      <c r="O4" s="51"/>
      <c r="P4" s="51"/>
      <c r="Q4" s="51"/>
      <c r="R4" s="51" t="s">
        <v>20</v>
      </c>
      <c r="S4" s="51"/>
      <c r="T4" s="51"/>
      <c r="U4" s="51"/>
      <c r="V4" s="51" t="s">
        <v>21</v>
      </c>
      <c r="W4" s="51"/>
      <c r="X4" s="51"/>
      <c r="Y4" s="51"/>
      <c r="Z4" s="51" t="s">
        <v>22</v>
      </c>
      <c r="AA4" s="51"/>
      <c r="AB4" s="51"/>
      <c r="AC4" s="51"/>
      <c r="AD4" s="51" t="s">
        <v>23</v>
      </c>
      <c r="AE4" s="51"/>
      <c r="AF4" s="51"/>
      <c r="AG4" s="51"/>
      <c r="AH4" s="51" t="s">
        <v>24</v>
      </c>
      <c r="AI4" s="51"/>
      <c r="AJ4" s="51"/>
      <c r="AK4" s="51"/>
    </row>
    <row r="5" spans="1:37">
      <c r="A5" t="s">
        <v>10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52</v>
      </c>
      <c r="AD5" t="s">
        <v>53</v>
      </c>
      <c r="AE5" t="s">
        <v>54</v>
      </c>
      <c r="AF5" t="s">
        <v>55</v>
      </c>
      <c r="AG5" t="s">
        <v>56</v>
      </c>
      <c r="AH5" t="s">
        <v>57</v>
      </c>
      <c r="AI5" t="s">
        <v>58</v>
      </c>
      <c r="AJ5" t="s">
        <v>59</v>
      </c>
      <c r="AK5" t="s">
        <v>60</v>
      </c>
    </row>
    <row r="6" spans="1:37">
      <c r="A6" s="52" t="str">
        <f>'Students Names'!$A2</f>
        <v>ADAM FATI</v>
      </c>
      <c r="B6" s="49">
        <v>60</v>
      </c>
      <c r="C6" s="49">
        <v>70</v>
      </c>
      <c r="D6" s="49">
        <v>100</v>
      </c>
      <c r="E6" s="49">
        <v>90</v>
      </c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</row>
    <row r="7" spans="1:37">
      <c r="A7" s="53" t="str">
        <f>'Students Names'!$A3</f>
        <v>ALAHASSAN IDDRISU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</row>
    <row r="8" spans="1:37">
      <c r="A8" s="52" t="str">
        <f>'Students Names'!$A4</f>
        <v>ALHASSAN FATIMA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</row>
    <row r="9" spans="1:37">
      <c r="A9" s="53" t="str">
        <f>'Students Names'!$A5</f>
        <v>BABA FUSEINI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</row>
    <row r="10" spans="1:37">
      <c r="A10" s="52" t="str">
        <f>'Students Names'!$A6</f>
        <v>INUSAH FATAW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</row>
    <row r="11" spans="1:37">
      <c r="A11" s="53">
        <f>'Students Names'!$A7</f>
        <v>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</row>
    <row r="12" spans="1:37">
      <c r="A12" s="52">
        <f>'Students Names'!$A8</f>
        <v>0</v>
      </c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</row>
    <row r="13" spans="1:37">
      <c r="A13" s="53">
        <f>'Students Names'!$A9</f>
        <v>0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</row>
    <row r="14" spans="1:37">
      <c r="A14" s="52">
        <f>'Students Names'!$A10</f>
        <v>0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</row>
    <row r="15" spans="1:37">
      <c r="A15" s="53">
        <f>'Students Names'!$A11</f>
        <v>0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</row>
    <row r="16" spans="1:37">
      <c r="A16" s="52">
        <f>'Students Names'!$A12</f>
        <v>0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</row>
    <row r="17" spans="1:37">
      <c r="A17" s="53">
        <f>'Students Names'!$A13</f>
        <v>0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</row>
    <row r="18" spans="1:37">
      <c r="A18" s="52">
        <f>'Students Names'!$A14</f>
        <v>0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</row>
    <row r="19" spans="1:37">
      <c r="A19" s="53">
        <f>'Students Names'!$A15</f>
        <v>0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</row>
    <row r="20" spans="1:37">
      <c r="A20" s="52">
        <f>'Students Names'!$A16</f>
        <v>0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</row>
    <row r="21" spans="1:37">
      <c r="A21" s="53">
        <f>'Students Names'!$A17</f>
        <v>0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</row>
    <row r="22" spans="1:37">
      <c r="A22" s="52">
        <f>'Students Names'!$A18</f>
        <v>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</row>
    <row r="23" spans="1:37">
      <c r="A23" s="53">
        <f>'Students Names'!$A19</f>
        <v>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</row>
    <row r="24" spans="1:37">
      <c r="A24" s="52">
        <f>'Students Names'!$A20</f>
        <v>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</row>
    <row r="25" spans="1:37">
      <c r="A25" s="53">
        <f>'Students Names'!$A21</f>
        <v>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</row>
    <row r="26" spans="1:37">
      <c r="A26" s="52">
        <f>'Students Names'!$A22</f>
        <v>0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</row>
    <row r="27" spans="1:37">
      <c r="A27" s="53">
        <f>'Students Names'!$A23</f>
        <v>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</row>
    <row r="28" spans="1:37">
      <c r="A28" s="52">
        <f>'Students Names'!$A24</f>
        <v>0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</row>
    <row r="29" spans="1:37">
      <c r="A29" s="54">
        <f>'Students Names'!$A25</f>
        <v>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</row>
    <row r="30" spans="1:37">
      <c r="A30" s="52">
        <f>'Students Names'!$A26</f>
        <v>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</row>
    <row r="31" spans="1:37">
      <c r="A31" s="53">
        <f>'Students Names'!$A27</f>
        <v>0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</row>
    <row r="32" spans="1:37">
      <c r="A32" s="52">
        <f>'Students Names'!$A28</f>
        <v>0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</row>
    <row r="33" spans="1:37">
      <c r="A33" s="53">
        <f>'Students Names'!$A29</f>
        <v>0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</row>
    <row r="34" spans="1:37">
      <c r="A34" s="52">
        <f>'Students Names'!$A30</f>
        <v>0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</row>
    <row r="35" spans="1:37">
      <c r="A35" s="53">
        <f>'Students Names'!$A31</f>
        <v>0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</row>
    <row r="36" spans="1:37">
      <c r="A36" s="52">
        <f>'Students Names'!$A32</f>
        <v>0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</row>
    <row r="37" spans="1:37">
      <c r="A37" s="53">
        <f>'Students Names'!$A33</f>
        <v>0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</row>
    <row r="38" spans="1:37">
      <c r="A38" s="52">
        <f>'Students Names'!$A34</f>
        <v>0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</row>
    <row r="39" spans="1:37">
      <c r="A39" s="53">
        <f>'Students Names'!$A35</f>
        <v>0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</row>
    <row r="40" spans="1:37">
      <c r="A40" s="52">
        <f>'Students Names'!$A36</f>
        <v>0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</row>
    <row r="41" spans="1:37">
      <c r="A41" s="53">
        <f>'Students Names'!$A37</f>
        <v>0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</row>
    <row r="42" spans="1:37">
      <c r="A42" s="52">
        <f>'Students Names'!$A38</f>
        <v>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</row>
    <row r="43" spans="1:37">
      <c r="A43" s="53">
        <f>'Students Names'!$A39</f>
        <v>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</row>
    <row r="44" spans="1:37">
      <c r="A44" s="48">
        <f>'Students Names'!$A40</f>
        <v>0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</row>
    <row r="45" spans="1:37">
      <c r="A45" s="48">
        <f>'Students Names'!$A41</f>
        <v>0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</row>
    <row r="46" spans="1:37">
      <c r="A46" s="48">
        <f>'Students Names'!$A42</f>
        <v>0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</row>
    <row r="47" spans="1:37">
      <c r="A47" s="48">
        <f>'Students Names'!$A43</f>
        <v>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</row>
    <row r="48" spans="1:37">
      <c r="A48" s="48">
        <f>'Students Names'!$A44</f>
        <v>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</row>
    <row r="49" spans="1:37">
      <c r="A49" s="48">
        <f>'Students Names'!$A45</f>
        <v>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</row>
    <row r="50" spans="1:37">
      <c r="A50" s="48">
        <f>'Students Names'!$A46</f>
        <v>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</row>
    <row r="51" spans="1:37">
      <c r="A51" s="48">
        <f>'Students Names'!$A47</f>
        <v>0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</row>
    <row r="52" spans="1:37">
      <c r="A52" s="48">
        <f>'Students Names'!$A48</f>
        <v>0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</row>
    <row r="53" spans="1:37">
      <c r="A53" s="48">
        <f>'Students Names'!$A49</f>
        <v>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</row>
    <row r="54" spans="1:37">
      <c r="A54" s="48">
        <f>'Students Names'!$A50</f>
        <v>0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</row>
  </sheetData>
  <sheetProtection algorithmName="SHA-512" hashValue="P3nxhnEIMt4at6gnJ64FTZT8dn69IO5Hp19Tf13PzAvKub5XAHkJiqB7Wm98IweURr1TIThNgRsN5noqthVCAQ==" saltValue="26OiAzU+ruC7C/coU9j8dg==" spinCount="100000" sheet="1" objects="1"/>
  <mergeCells count="9">
    <mergeCell ref="B4:E4"/>
    <mergeCell ref="F4:I4"/>
    <mergeCell ref="J4:M4"/>
    <mergeCell ref="N4:Q4"/>
    <mergeCell ref="R4:U4"/>
    <mergeCell ref="V4:Y4"/>
    <mergeCell ref="Z4:AC4"/>
    <mergeCell ref="AD4:AG4"/>
    <mergeCell ref="AH4:AK4"/>
  </mergeCells>
  <dataValidations count="1">
    <dataValidation type="whole" operator="between" allowBlank="1" showInputMessage="1" showErrorMessage="1" errorTitle="ERROR" error="Enter a VALID exam Score. The Number should not be MORE than 100 and LESS than 0" sqref="B6:AK54">
      <formula1>0</formula1>
      <formula2>100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workbookViewId="0">
      <selection activeCell="A8" sqref="A8"/>
    </sheetView>
  </sheetViews>
  <sheetFormatPr defaultColWidth="8.72727272727273" defaultRowHeight="14.5"/>
  <cols>
    <col min="1" max="1" width="25.2727272727273" customWidth="1"/>
  </cols>
  <sheetData>
    <row r="1" spans="1:10">
      <c r="A1" s="45" t="s">
        <v>10</v>
      </c>
      <c r="B1" s="46" t="s">
        <v>16</v>
      </c>
      <c r="C1" s="47" t="s">
        <v>17</v>
      </c>
      <c r="D1" s="47" t="s">
        <v>18</v>
      </c>
      <c r="E1" s="47" t="s">
        <v>19</v>
      </c>
      <c r="F1" s="47" t="s">
        <v>61</v>
      </c>
      <c r="G1" s="47" t="s">
        <v>21</v>
      </c>
      <c r="H1" s="47" t="s">
        <v>62</v>
      </c>
      <c r="I1" s="47" t="s">
        <v>23</v>
      </c>
      <c r="J1" s="50" t="s">
        <v>63</v>
      </c>
    </row>
    <row r="2" spans="1:10">
      <c r="A2" s="48" t="str">
        <f>'Students Names'!$A2</f>
        <v>ADAM FATI</v>
      </c>
      <c r="B2" s="49">
        <v>80</v>
      </c>
      <c r="C2" s="49"/>
      <c r="D2" s="49"/>
      <c r="E2" s="49"/>
      <c r="F2" s="49"/>
      <c r="G2" s="49"/>
      <c r="H2" s="49"/>
      <c r="I2" s="49"/>
      <c r="J2" s="49"/>
    </row>
    <row r="3" spans="1:10">
      <c r="A3" s="48" t="str">
        <f>'Students Names'!$A3</f>
        <v>ALAHASSAN IDDRISU</v>
      </c>
      <c r="B3" s="49">
        <v>88</v>
      </c>
      <c r="C3" s="49">
        <v>0</v>
      </c>
      <c r="D3" s="49"/>
      <c r="E3" s="49"/>
      <c r="F3" s="49"/>
      <c r="G3" s="49"/>
      <c r="H3" s="49"/>
      <c r="I3" s="49"/>
      <c r="J3" s="49"/>
    </row>
    <row r="4" spans="1:10">
      <c r="A4" s="48" t="str">
        <f>'Students Names'!$A4</f>
        <v>ALHASSAN FATIMA</v>
      </c>
      <c r="B4" s="49"/>
      <c r="C4" s="49"/>
      <c r="D4" s="49"/>
      <c r="E4" s="49"/>
      <c r="F4" s="49"/>
      <c r="G4" s="49"/>
      <c r="H4" s="49"/>
      <c r="I4" s="49"/>
      <c r="J4" s="49"/>
    </row>
    <row r="5" spans="1:10">
      <c r="A5" s="48" t="str">
        <f>'Students Names'!$A5</f>
        <v>BABA FUSEINI</v>
      </c>
      <c r="B5" s="49"/>
      <c r="C5" s="49"/>
      <c r="D5" s="49"/>
      <c r="E5" s="49"/>
      <c r="F5" s="49"/>
      <c r="G5" s="49"/>
      <c r="H5" s="49"/>
      <c r="I5" s="49"/>
      <c r="J5" s="49"/>
    </row>
    <row r="6" spans="1:10">
      <c r="A6" s="48" t="str">
        <f>'Students Names'!$A6</f>
        <v>INUSAH FATAW</v>
      </c>
      <c r="B6" s="49"/>
      <c r="C6" s="49"/>
      <c r="D6" s="49"/>
      <c r="E6" s="49"/>
      <c r="F6" s="49"/>
      <c r="G6" s="49"/>
      <c r="H6" s="49"/>
      <c r="I6" s="49"/>
      <c r="J6" s="49"/>
    </row>
    <row r="7" spans="1:10">
      <c r="A7" s="48">
        <f>'Students Names'!$A7</f>
        <v>0</v>
      </c>
      <c r="B7" s="49"/>
      <c r="C7" s="49"/>
      <c r="D7" s="49"/>
      <c r="E7" s="49"/>
      <c r="F7" s="49"/>
      <c r="G7" s="49"/>
      <c r="H7" s="49"/>
      <c r="I7" s="49"/>
      <c r="J7" s="49"/>
    </row>
    <row r="8" spans="1:10">
      <c r="A8" s="48">
        <f>'Students Names'!$A8</f>
        <v>0</v>
      </c>
      <c r="B8" s="49"/>
      <c r="C8" s="49"/>
      <c r="D8" s="49"/>
      <c r="E8" s="49"/>
      <c r="F8" s="49"/>
      <c r="G8" s="49"/>
      <c r="H8" s="49"/>
      <c r="I8" s="49"/>
      <c r="J8" s="49"/>
    </row>
    <row r="9" spans="1:10">
      <c r="A9" s="48">
        <f>'Students Names'!$A9</f>
        <v>0</v>
      </c>
      <c r="B9" s="49"/>
      <c r="C9" s="49"/>
      <c r="D9" s="49"/>
      <c r="E9" s="49"/>
      <c r="F9" s="49"/>
      <c r="G9" s="49"/>
      <c r="H9" s="49"/>
      <c r="I9" s="49"/>
      <c r="J9" s="49"/>
    </row>
    <row r="10" spans="1:10">
      <c r="A10" s="48">
        <f>'Students Names'!$A10</f>
        <v>0</v>
      </c>
      <c r="B10" s="49"/>
      <c r="C10" s="49"/>
      <c r="D10" s="49"/>
      <c r="E10" s="49"/>
      <c r="F10" s="49"/>
      <c r="G10" s="49"/>
      <c r="H10" s="49"/>
      <c r="I10" s="49"/>
      <c r="J10" s="49"/>
    </row>
    <row r="11" spans="1:10">
      <c r="A11" s="48">
        <f>'Students Names'!$A11</f>
        <v>0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>
      <c r="A12" s="48">
        <f>'Students Names'!$A12</f>
        <v>0</v>
      </c>
      <c r="B12" s="49"/>
      <c r="C12" s="49"/>
      <c r="D12" s="49"/>
      <c r="E12" s="49"/>
      <c r="F12" s="49"/>
      <c r="G12" s="49"/>
      <c r="H12" s="49"/>
      <c r="I12" s="49"/>
      <c r="J12" s="49"/>
    </row>
    <row r="13" spans="1:10">
      <c r="A13" s="48">
        <f>'Students Names'!$A13</f>
        <v>0</v>
      </c>
      <c r="B13" s="49"/>
      <c r="C13" s="49"/>
      <c r="D13" s="49"/>
      <c r="E13" s="49"/>
      <c r="F13" s="49"/>
      <c r="G13" s="49"/>
      <c r="H13" s="49"/>
      <c r="I13" s="49"/>
      <c r="J13" s="49"/>
    </row>
    <row r="14" spans="1:10">
      <c r="A14" s="48">
        <f>'Students Names'!$A14</f>
        <v>0</v>
      </c>
      <c r="B14" s="49"/>
      <c r="C14" s="49"/>
      <c r="D14" s="49"/>
      <c r="E14" s="49"/>
      <c r="F14" s="49"/>
      <c r="G14" s="49"/>
      <c r="H14" s="49"/>
      <c r="I14" s="49"/>
      <c r="J14" s="49"/>
    </row>
    <row r="15" spans="1:10">
      <c r="A15" s="48">
        <f>'Students Names'!$A15</f>
        <v>0</v>
      </c>
      <c r="B15" s="49"/>
      <c r="C15" s="49"/>
      <c r="D15" s="49"/>
      <c r="E15" s="49"/>
      <c r="F15" s="49"/>
      <c r="G15" s="49"/>
      <c r="H15" s="49"/>
      <c r="I15" s="49"/>
      <c r="J15" s="49"/>
    </row>
    <row r="16" spans="1:10">
      <c r="A16" s="48">
        <f>'Students Names'!$A16</f>
        <v>0</v>
      </c>
      <c r="B16" s="49"/>
      <c r="C16" s="49"/>
      <c r="D16" s="49"/>
      <c r="E16" s="49"/>
      <c r="F16" s="49"/>
      <c r="G16" s="49"/>
      <c r="H16" s="49"/>
      <c r="I16" s="49"/>
      <c r="J16" s="49"/>
    </row>
    <row r="17" spans="1:10">
      <c r="A17" s="48">
        <f>'Students Names'!$A17</f>
        <v>0</v>
      </c>
      <c r="B17" s="49"/>
      <c r="C17" s="49"/>
      <c r="D17" s="49"/>
      <c r="E17" s="49"/>
      <c r="F17" s="49"/>
      <c r="G17" s="49"/>
      <c r="H17" s="49"/>
      <c r="I17" s="49"/>
      <c r="J17" s="49"/>
    </row>
    <row r="18" spans="1:10">
      <c r="A18" s="48">
        <f>'Students Names'!$A18</f>
        <v>0</v>
      </c>
      <c r="B18" s="49"/>
      <c r="C18" s="49"/>
      <c r="D18" s="49"/>
      <c r="E18" s="49"/>
      <c r="F18" s="49"/>
      <c r="G18" s="49"/>
      <c r="H18" s="49"/>
      <c r="I18" s="49"/>
      <c r="J18" s="49"/>
    </row>
    <row r="19" spans="1:10">
      <c r="A19" s="48">
        <f>'Students Names'!$A19</f>
        <v>0</v>
      </c>
      <c r="B19" s="49"/>
      <c r="C19" s="49"/>
      <c r="D19" s="49"/>
      <c r="E19" s="49"/>
      <c r="F19" s="49"/>
      <c r="G19" s="49"/>
      <c r="H19" s="49"/>
      <c r="I19" s="49"/>
      <c r="J19" s="49"/>
    </row>
    <row r="20" spans="1:10">
      <c r="A20" s="48">
        <f>'Students Names'!$A20</f>
        <v>0</v>
      </c>
      <c r="B20" s="49"/>
      <c r="C20" s="49"/>
      <c r="D20" s="49"/>
      <c r="E20" s="49"/>
      <c r="F20" s="49"/>
      <c r="G20" s="49"/>
      <c r="H20" s="49"/>
      <c r="I20" s="49"/>
      <c r="J20" s="49"/>
    </row>
    <row r="21" spans="1:10">
      <c r="A21" s="48">
        <f>'Students Names'!$A21</f>
        <v>0</v>
      </c>
      <c r="B21" s="49"/>
      <c r="C21" s="49"/>
      <c r="D21" s="49"/>
      <c r="E21" s="49"/>
      <c r="F21" s="49"/>
      <c r="G21" s="49"/>
      <c r="H21" s="49"/>
      <c r="I21" s="49"/>
      <c r="J21" s="49"/>
    </row>
    <row r="22" spans="1:10">
      <c r="A22" s="48">
        <f>'Students Names'!$A22</f>
        <v>0</v>
      </c>
      <c r="B22" s="49"/>
      <c r="C22" s="49"/>
      <c r="D22" s="49"/>
      <c r="E22" s="49"/>
      <c r="F22" s="49"/>
      <c r="G22" s="49"/>
      <c r="H22" s="49"/>
      <c r="I22" s="49"/>
      <c r="J22" s="49"/>
    </row>
    <row r="23" spans="1:10">
      <c r="A23" s="48">
        <f>'Students Names'!$A23</f>
        <v>0</v>
      </c>
      <c r="B23" s="49"/>
      <c r="C23" s="49"/>
      <c r="D23" s="49"/>
      <c r="E23" s="49"/>
      <c r="F23" s="49"/>
      <c r="G23" s="49"/>
      <c r="H23" s="49"/>
      <c r="I23" s="49"/>
      <c r="J23" s="49"/>
    </row>
    <row r="24" spans="1:10">
      <c r="A24" s="48">
        <f>'Students Names'!$A24</f>
        <v>0</v>
      </c>
      <c r="B24" s="49"/>
      <c r="C24" s="49"/>
      <c r="D24" s="49"/>
      <c r="E24" s="49"/>
      <c r="F24" s="49"/>
      <c r="G24" s="49"/>
      <c r="H24" s="49"/>
      <c r="I24" s="49"/>
      <c r="J24" s="49"/>
    </row>
    <row r="25" spans="1:10">
      <c r="A25" s="48">
        <f>'Students Names'!$A25</f>
        <v>0</v>
      </c>
      <c r="B25" s="49"/>
      <c r="C25" s="49"/>
      <c r="D25" s="49"/>
      <c r="E25" s="49"/>
      <c r="F25" s="49"/>
      <c r="G25" s="49"/>
      <c r="H25" s="49"/>
      <c r="I25" s="49"/>
      <c r="J25" s="49"/>
    </row>
    <row r="26" spans="1:10">
      <c r="A26" s="48">
        <f>'Students Names'!$A26</f>
        <v>0</v>
      </c>
      <c r="B26" s="49"/>
      <c r="C26" s="49"/>
      <c r="D26" s="49"/>
      <c r="E26" s="49"/>
      <c r="F26" s="49"/>
      <c r="G26" s="49"/>
      <c r="H26" s="49"/>
      <c r="I26" s="49"/>
      <c r="J26" s="49"/>
    </row>
    <row r="27" spans="1:10">
      <c r="A27" s="48">
        <f>'Students Names'!$A27</f>
        <v>0</v>
      </c>
      <c r="B27" s="49"/>
      <c r="C27" s="49"/>
      <c r="D27" s="49"/>
      <c r="E27" s="49"/>
      <c r="F27" s="49"/>
      <c r="G27" s="49"/>
      <c r="H27" s="49"/>
      <c r="I27" s="49"/>
      <c r="J27" s="49"/>
    </row>
    <row r="28" spans="1:10">
      <c r="A28" s="48">
        <f>'Students Names'!$A28</f>
        <v>0</v>
      </c>
      <c r="B28" s="49"/>
      <c r="C28" s="49"/>
      <c r="D28" s="49"/>
      <c r="E28" s="49"/>
      <c r="F28" s="49"/>
      <c r="G28" s="49"/>
      <c r="H28" s="49"/>
      <c r="I28" s="49"/>
      <c r="J28" s="49"/>
    </row>
    <row r="29" spans="1:10">
      <c r="A29" s="48">
        <f>'Students Names'!$A29</f>
        <v>0</v>
      </c>
      <c r="B29" s="49"/>
      <c r="C29" s="49"/>
      <c r="D29" s="49"/>
      <c r="E29" s="49"/>
      <c r="F29" s="49"/>
      <c r="G29" s="49"/>
      <c r="H29" s="49"/>
      <c r="I29" s="49"/>
      <c r="J29" s="49"/>
    </row>
    <row r="30" spans="1:10">
      <c r="A30" s="48">
        <f>'Students Names'!$A30</f>
        <v>0</v>
      </c>
      <c r="B30" s="49"/>
      <c r="C30" s="49"/>
      <c r="D30" s="49"/>
      <c r="E30" s="49"/>
      <c r="F30" s="49"/>
      <c r="G30" s="49"/>
      <c r="H30" s="49"/>
      <c r="I30" s="49"/>
      <c r="J30" s="49"/>
    </row>
    <row r="31" spans="1:10">
      <c r="A31" s="48">
        <f>'Students Names'!$A31</f>
        <v>0</v>
      </c>
      <c r="B31" s="49"/>
      <c r="C31" s="49"/>
      <c r="D31" s="49"/>
      <c r="E31" s="49"/>
      <c r="F31" s="49"/>
      <c r="G31" s="49"/>
      <c r="H31" s="49"/>
      <c r="I31" s="49"/>
      <c r="J31" s="49"/>
    </row>
    <row r="32" spans="1:10">
      <c r="A32" s="48">
        <f>'Students Names'!$A32</f>
        <v>0</v>
      </c>
      <c r="B32" s="49"/>
      <c r="C32" s="49"/>
      <c r="D32" s="49"/>
      <c r="E32" s="49"/>
      <c r="F32" s="49"/>
      <c r="G32" s="49"/>
      <c r="H32" s="49"/>
      <c r="I32" s="49"/>
      <c r="J32" s="49"/>
    </row>
    <row r="33" spans="1:10">
      <c r="A33" s="48">
        <f>'Students Names'!$A33</f>
        <v>0</v>
      </c>
      <c r="B33" s="49"/>
      <c r="C33" s="49"/>
      <c r="D33" s="49"/>
      <c r="E33" s="49"/>
      <c r="F33" s="49"/>
      <c r="G33" s="49"/>
      <c r="H33" s="49"/>
      <c r="I33" s="49"/>
      <c r="J33" s="49"/>
    </row>
    <row r="34" spans="1:10">
      <c r="A34" s="48">
        <f>'Students Names'!$A34</f>
        <v>0</v>
      </c>
      <c r="B34" s="49"/>
      <c r="C34" s="49"/>
      <c r="D34" s="49"/>
      <c r="E34" s="49"/>
      <c r="F34" s="49"/>
      <c r="G34" s="49"/>
      <c r="H34" s="49"/>
      <c r="I34" s="49"/>
      <c r="J34" s="49"/>
    </row>
    <row r="35" spans="1:10">
      <c r="A35" s="48">
        <f>'Students Names'!$A35</f>
        <v>0</v>
      </c>
      <c r="B35" s="49"/>
      <c r="C35" s="49"/>
      <c r="D35" s="49"/>
      <c r="E35" s="49"/>
      <c r="F35" s="49"/>
      <c r="G35" s="49"/>
      <c r="H35" s="49"/>
      <c r="I35" s="49"/>
      <c r="J35" s="49"/>
    </row>
    <row r="36" spans="1:10">
      <c r="A36" s="48">
        <f>'Students Names'!$A36</f>
        <v>0</v>
      </c>
      <c r="B36" s="49"/>
      <c r="C36" s="49"/>
      <c r="D36" s="49"/>
      <c r="E36" s="49"/>
      <c r="F36" s="49"/>
      <c r="G36" s="49"/>
      <c r="H36" s="49"/>
      <c r="I36" s="49"/>
      <c r="J36" s="49"/>
    </row>
    <row r="37" spans="1:10">
      <c r="A37" s="48">
        <f>'Students Names'!$A37</f>
        <v>0</v>
      </c>
      <c r="B37" s="49"/>
      <c r="C37" s="49"/>
      <c r="D37" s="49"/>
      <c r="E37" s="49"/>
      <c r="F37" s="49"/>
      <c r="G37" s="49"/>
      <c r="H37" s="49"/>
      <c r="I37" s="49"/>
      <c r="J37" s="49"/>
    </row>
    <row r="38" spans="1:10">
      <c r="A38" s="48">
        <f>'Students Names'!$A38</f>
        <v>0</v>
      </c>
      <c r="B38" s="49"/>
      <c r="C38" s="49"/>
      <c r="D38" s="49"/>
      <c r="E38" s="49"/>
      <c r="F38" s="49"/>
      <c r="G38" s="49"/>
      <c r="H38" s="49"/>
      <c r="I38" s="49"/>
      <c r="J38" s="49"/>
    </row>
    <row r="39" spans="1:10">
      <c r="A39" s="48">
        <f>'Students Names'!$A39</f>
        <v>0</v>
      </c>
      <c r="B39" s="49"/>
      <c r="C39" s="49"/>
      <c r="D39" s="49"/>
      <c r="E39" s="49"/>
      <c r="F39" s="49"/>
      <c r="G39" s="49"/>
      <c r="H39" s="49"/>
      <c r="I39" s="49"/>
      <c r="J39" s="49"/>
    </row>
    <row r="40" spans="1:10">
      <c r="A40" s="48">
        <f>'Students Names'!$A40</f>
        <v>0</v>
      </c>
      <c r="B40" s="49"/>
      <c r="C40" s="49"/>
      <c r="D40" s="49"/>
      <c r="E40" s="49"/>
      <c r="F40" s="49"/>
      <c r="G40" s="49"/>
      <c r="H40" s="49"/>
      <c r="I40" s="49"/>
      <c r="J40" s="49"/>
    </row>
    <row r="41" spans="1:10">
      <c r="A41" s="48">
        <f>'Students Names'!$A41</f>
        <v>0</v>
      </c>
      <c r="B41" s="49"/>
      <c r="C41" s="49"/>
      <c r="D41" s="49"/>
      <c r="E41" s="49"/>
      <c r="F41" s="49"/>
      <c r="G41" s="49"/>
      <c r="H41" s="49"/>
      <c r="I41" s="49"/>
      <c r="J41" s="49"/>
    </row>
    <row r="42" spans="1:10">
      <c r="A42" s="48">
        <f>'Students Names'!$A42</f>
        <v>0</v>
      </c>
      <c r="B42" s="49"/>
      <c r="C42" s="49"/>
      <c r="D42" s="49"/>
      <c r="E42" s="49"/>
      <c r="F42" s="49"/>
      <c r="G42" s="49"/>
      <c r="H42" s="49"/>
      <c r="I42" s="49"/>
      <c r="J42" s="49"/>
    </row>
    <row r="43" spans="1:10">
      <c r="A43" s="48">
        <f>'Students Names'!$A43</f>
        <v>0</v>
      </c>
      <c r="B43" s="49"/>
      <c r="C43" s="49"/>
      <c r="D43" s="49"/>
      <c r="E43" s="49"/>
      <c r="F43" s="49"/>
      <c r="G43" s="49"/>
      <c r="H43" s="49"/>
      <c r="I43" s="49"/>
      <c r="J43" s="49"/>
    </row>
    <row r="44" spans="1:10">
      <c r="A44" s="48">
        <f>'Students Names'!$A44</f>
        <v>0</v>
      </c>
      <c r="B44" s="49"/>
      <c r="C44" s="49"/>
      <c r="D44" s="49"/>
      <c r="E44" s="49"/>
      <c r="F44" s="49"/>
      <c r="G44" s="49"/>
      <c r="H44" s="49"/>
      <c r="I44" s="49"/>
      <c r="J44" s="49"/>
    </row>
    <row r="45" spans="1:10">
      <c r="A45" s="48">
        <f>'Students Names'!$A45</f>
        <v>0</v>
      </c>
      <c r="B45" s="49"/>
      <c r="C45" s="49"/>
      <c r="D45" s="49"/>
      <c r="E45" s="49"/>
      <c r="F45" s="49"/>
      <c r="G45" s="49"/>
      <c r="H45" s="49"/>
      <c r="I45" s="49"/>
      <c r="J45" s="49"/>
    </row>
    <row r="46" spans="1:10">
      <c r="A46" s="48">
        <f>'Students Names'!$A46</f>
        <v>0</v>
      </c>
      <c r="B46" s="49"/>
      <c r="C46" s="49"/>
      <c r="D46" s="49"/>
      <c r="E46" s="49"/>
      <c r="F46" s="49"/>
      <c r="G46" s="49"/>
      <c r="H46" s="49"/>
      <c r="I46" s="49"/>
      <c r="J46" s="49"/>
    </row>
    <row r="47" spans="1:10">
      <c r="A47" s="48">
        <f>'Students Names'!$A47</f>
        <v>0</v>
      </c>
      <c r="B47" s="49"/>
      <c r="C47" s="49"/>
      <c r="D47" s="49"/>
      <c r="E47" s="49"/>
      <c r="F47" s="49"/>
      <c r="G47" s="49"/>
      <c r="H47" s="49"/>
      <c r="I47" s="49"/>
      <c r="J47" s="49"/>
    </row>
    <row r="48" spans="1:10">
      <c r="A48" s="48">
        <f>'Students Names'!$A48</f>
        <v>0</v>
      </c>
      <c r="B48" s="49"/>
      <c r="C48" s="49"/>
      <c r="D48" s="49"/>
      <c r="E48" s="49"/>
      <c r="F48" s="49"/>
      <c r="G48" s="49"/>
      <c r="H48" s="49"/>
      <c r="I48" s="49"/>
      <c r="J48" s="49"/>
    </row>
    <row r="49" spans="1:10">
      <c r="A49" s="48">
        <f>'Students Names'!$A49</f>
        <v>0</v>
      </c>
      <c r="B49" s="49"/>
      <c r="C49" s="49"/>
      <c r="D49" s="49"/>
      <c r="E49" s="49"/>
      <c r="F49" s="49"/>
      <c r="G49" s="49"/>
      <c r="H49" s="49"/>
      <c r="I49" s="49"/>
      <c r="J49" s="49"/>
    </row>
    <row r="50" spans="1:10">
      <c r="A50" s="48">
        <f>'Students Names'!$A50</f>
        <v>0</v>
      </c>
      <c r="B50" s="49"/>
      <c r="C50" s="49"/>
      <c r="D50" s="49"/>
      <c r="E50" s="49"/>
      <c r="F50" s="49"/>
      <c r="G50" s="49"/>
      <c r="H50" s="49"/>
      <c r="I50" s="49"/>
      <c r="J50" s="49"/>
    </row>
    <row r="51" spans="1:10">
      <c r="A51" s="48">
        <f>'Students Names'!$A51</f>
        <v>0</v>
      </c>
      <c r="B51" s="49"/>
      <c r="C51" s="49"/>
      <c r="D51" s="49"/>
      <c r="E51" s="49"/>
      <c r="F51" s="49"/>
      <c r="G51" s="49"/>
      <c r="H51" s="49"/>
      <c r="I51" s="49"/>
      <c r="J51" s="49"/>
    </row>
    <row r="52" spans="1:10">
      <c r="A52" s="48">
        <f>'Students Names'!$A52</f>
        <v>0</v>
      </c>
      <c r="B52" s="49"/>
      <c r="C52" s="49"/>
      <c r="D52" s="49"/>
      <c r="E52" s="49"/>
      <c r="F52" s="49"/>
      <c r="G52" s="49"/>
      <c r="H52" s="49"/>
      <c r="I52" s="49"/>
      <c r="J52" s="49"/>
    </row>
    <row r="53" spans="1:10">
      <c r="A53" s="48">
        <f>'Students Names'!$A53</f>
        <v>0</v>
      </c>
      <c r="B53" s="49"/>
      <c r="C53" s="49"/>
      <c r="D53" s="49"/>
      <c r="E53" s="49"/>
      <c r="F53" s="49"/>
      <c r="G53" s="49"/>
      <c r="H53" s="49"/>
      <c r="I53" s="49"/>
      <c r="J53" s="49"/>
    </row>
    <row r="54" spans="1:10">
      <c r="A54" s="48">
        <f>'Students Names'!$A54</f>
        <v>0</v>
      </c>
      <c r="B54" s="49"/>
      <c r="C54" s="49"/>
      <c r="D54" s="49"/>
      <c r="E54" s="49"/>
      <c r="F54" s="49"/>
      <c r="G54" s="49"/>
      <c r="H54" s="49"/>
      <c r="I54" s="49"/>
      <c r="J54" s="49"/>
    </row>
    <row r="55" spans="1:10">
      <c r="A55" s="48">
        <f>'Students Names'!$A55</f>
        <v>0</v>
      </c>
      <c r="B55" s="49"/>
      <c r="C55" s="49"/>
      <c r="D55" s="49"/>
      <c r="E55" s="49"/>
      <c r="F55" s="49"/>
      <c r="G55" s="49"/>
      <c r="H55" s="49"/>
      <c r="I55" s="49"/>
      <c r="J55" s="49"/>
    </row>
    <row r="56" spans="1:10">
      <c r="A56" s="48">
        <f>'Students Names'!$A56</f>
        <v>0</v>
      </c>
      <c r="B56" s="49"/>
      <c r="C56" s="49"/>
      <c r="D56" s="49"/>
      <c r="E56" s="49"/>
      <c r="F56" s="49"/>
      <c r="G56" s="49"/>
      <c r="H56" s="49"/>
      <c r="I56" s="49"/>
      <c r="J56" s="49"/>
    </row>
    <row r="57" spans="1:10">
      <c r="A57" s="48">
        <f>'Students Names'!$A57</f>
        <v>0</v>
      </c>
      <c r="B57" s="49"/>
      <c r="C57" s="49"/>
      <c r="D57" s="49"/>
      <c r="E57" s="49"/>
      <c r="F57" s="49"/>
      <c r="G57" s="49"/>
      <c r="H57" s="49"/>
      <c r="I57" s="49"/>
      <c r="J57" s="49"/>
    </row>
    <row r="58" spans="1:10">
      <c r="A58" s="48">
        <f>'Students Names'!$A58</f>
        <v>0</v>
      </c>
      <c r="B58" s="49"/>
      <c r="C58" s="49"/>
      <c r="D58" s="49"/>
      <c r="E58" s="49"/>
      <c r="F58" s="49"/>
      <c r="G58" s="49"/>
      <c r="H58" s="49"/>
      <c r="I58" s="49"/>
      <c r="J58" s="49"/>
    </row>
    <row r="59" spans="1:10">
      <c r="A59" s="48">
        <f>'Students Names'!$A59</f>
        <v>0</v>
      </c>
      <c r="B59" s="49"/>
      <c r="C59" s="49"/>
      <c r="D59" s="49"/>
      <c r="E59" s="49"/>
      <c r="F59" s="49"/>
      <c r="G59" s="49"/>
      <c r="H59" s="49"/>
      <c r="I59" s="49"/>
      <c r="J59" s="49"/>
    </row>
    <row r="60" spans="1:10">
      <c r="A60" s="48">
        <f>'Students Names'!$A60</f>
        <v>0</v>
      </c>
      <c r="B60" s="49"/>
      <c r="C60" s="49"/>
      <c r="D60" s="49"/>
      <c r="E60" s="49"/>
      <c r="F60" s="49"/>
      <c r="G60" s="49"/>
      <c r="H60" s="49"/>
      <c r="I60" s="49"/>
      <c r="J60" s="49"/>
    </row>
    <row r="61" spans="1:10">
      <c r="A61" s="48">
        <f>'Students Names'!$A61</f>
        <v>0</v>
      </c>
      <c r="B61" s="49"/>
      <c r="C61" s="49"/>
      <c r="D61" s="49"/>
      <c r="E61" s="49"/>
      <c r="F61" s="49"/>
      <c r="G61" s="49"/>
      <c r="H61" s="49"/>
      <c r="I61" s="49"/>
      <c r="J61" s="49"/>
    </row>
    <row r="62" spans="1:10">
      <c r="A62" s="48">
        <f>'Students Names'!$A62</f>
        <v>0</v>
      </c>
      <c r="B62" s="49"/>
      <c r="C62" s="49"/>
      <c r="D62" s="49"/>
      <c r="E62" s="49"/>
      <c r="F62" s="49"/>
      <c r="G62" s="49"/>
      <c r="H62" s="49"/>
      <c r="I62" s="49"/>
      <c r="J62" s="49"/>
    </row>
    <row r="63" spans="1:10">
      <c r="A63" s="48">
        <f>'Students Names'!$A63</f>
        <v>0</v>
      </c>
      <c r="B63" s="49"/>
      <c r="C63" s="49"/>
      <c r="D63" s="49"/>
      <c r="E63" s="49"/>
      <c r="F63" s="49"/>
      <c r="G63" s="49"/>
      <c r="H63" s="49"/>
      <c r="I63" s="49"/>
      <c r="J63" s="49"/>
    </row>
    <row r="64" spans="1:10">
      <c r="A64" s="48">
        <f>'Students Names'!$A64</f>
        <v>0</v>
      </c>
      <c r="B64" s="49"/>
      <c r="C64" s="49"/>
      <c r="D64" s="49"/>
      <c r="E64" s="49"/>
      <c r="F64" s="49"/>
      <c r="G64" s="49"/>
      <c r="H64" s="49"/>
      <c r="I64" s="49"/>
      <c r="J64" s="49"/>
    </row>
    <row r="65" spans="1:10">
      <c r="A65" s="48">
        <f>'Students Names'!$A65</f>
        <v>0</v>
      </c>
      <c r="B65" s="49"/>
      <c r="C65" s="49"/>
      <c r="D65" s="49"/>
      <c r="E65" s="49"/>
      <c r="F65" s="49"/>
      <c r="G65" s="49"/>
      <c r="H65" s="49"/>
      <c r="I65" s="49"/>
      <c r="J65" s="49"/>
    </row>
    <row r="66" spans="1:10">
      <c r="A66" s="48">
        <f>'Students Names'!$A66</f>
        <v>0</v>
      </c>
      <c r="B66" s="49"/>
      <c r="C66" s="49"/>
      <c r="D66" s="49"/>
      <c r="E66" s="49"/>
      <c r="F66" s="49"/>
      <c r="G66" s="49"/>
      <c r="H66" s="49"/>
      <c r="I66" s="49"/>
      <c r="J66" s="49"/>
    </row>
    <row r="67" spans="1:10">
      <c r="A67" s="48">
        <f>'Students Names'!$A67</f>
        <v>0</v>
      </c>
      <c r="B67" s="49"/>
      <c r="C67" s="49"/>
      <c r="D67" s="49"/>
      <c r="E67" s="49"/>
      <c r="F67" s="49"/>
      <c r="G67" s="49"/>
      <c r="H67" s="49"/>
      <c r="I67" s="49"/>
      <c r="J67" s="49"/>
    </row>
    <row r="68" spans="1:10">
      <c r="A68" s="48">
        <f>'Students Names'!$A68</f>
        <v>0</v>
      </c>
      <c r="B68" s="49"/>
      <c r="C68" s="49"/>
      <c r="D68" s="49"/>
      <c r="E68" s="49"/>
      <c r="F68" s="49"/>
      <c r="G68" s="49"/>
      <c r="H68" s="49"/>
      <c r="I68" s="49"/>
      <c r="J68" s="49"/>
    </row>
    <row r="69" spans="1:10">
      <c r="A69" s="48">
        <f>'Students Names'!$A69</f>
        <v>0</v>
      </c>
      <c r="B69" s="49"/>
      <c r="C69" s="49"/>
      <c r="D69" s="49"/>
      <c r="E69" s="49"/>
      <c r="F69" s="49"/>
      <c r="G69" s="49"/>
      <c r="H69" s="49"/>
      <c r="I69" s="49"/>
      <c r="J69" s="49"/>
    </row>
    <row r="70" spans="1:10">
      <c r="A70" s="48">
        <f>'Students Names'!$A70</f>
        <v>0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0">
      <c r="A71" s="48">
        <f>'Students Names'!$A71</f>
        <v>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0">
      <c r="A72" s="48">
        <f>'Students Names'!$A72</f>
        <v>0</v>
      </c>
      <c r="B72" s="49"/>
      <c r="C72" s="49"/>
      <c r="D72" s="49"/>
      <c r="E72" s="49"/>
      <c r="F72" s="49"/>
      <c r="G72" s="49"/>
      <c r="H72" s="49"/>
      <c r="I72" s="49"/>
      <c r="J72" s="49"/>
    </row>
    <row r="73" spans="1:10">
      <c r="A73" s="48">
        <f>'Students Names'!$A73</f>
        <v>0</v>
      </c>
      <c r="B73" s="49"/>
      <c r="C73" s="49"/>
      <c r="D73" s="49"/>
      <c r="E73" s="49"/>
      <c r="F73" s="49"/>
      <c r="G73" s="49"/>
      <c r="H73" s="49"/>
      <c r="I73" s="49"/>
      <c r="J73" s="49"/>
    </row>
    <row r="74" spans="1:10">
      <c r="A74" s="48">
        <f>'Students Names'!$A74</f>
        <v>0</v>
      </c>
      <c r="B74" s="49"/>
      <c r="C74" s="49"/>
      <c r="D74" s="49"/>
      <c r="E74" s="49"/>
      <c r="F74" s="49"/>
      <c r="G74" s="49"/>
      <c r="H74" s="49"/>
      <c r="I74" s="49"/>
      <c r="J74" s="49"/>
    </row>
    <row r="75" spans="1:10">
      <c r="A75" s="48">
        <f>'Students Names'!$A75</f>
        <v>0</v>
      </c>
      <c r="B75" s="49"/>
      <c r="C75" s="49"/>
      <c r="D75" s="49"/>
      <c r="E75" s="49"/>
      <c r="F75" s="49"/>
      <c r="G75" s="49"/>
      <c r="H75" s="49"/>
      <c r="I75" s="49"/>
      <c r="J75" s="49"/>
    </row>
    <row r="76" spans="1:10">
      <c r="A76" s="48">
        <f>'Students Names'!$A76</f>
        <v>0</v>
      </c>
      <c r="B76" s="49"/>
      <c r="C76" s="49"/>
      <c r="D76" s="49"/>
      <c r="E76" s="49"/>
      <c r="F76" s="49"/>
      <c r="G76" s="49"/>
      <c r="H76" s="49"/>
      <c r="I76" s="49"/>
      <c r="J76" s="49"/>
    </row>
    <row r="77" spans="1:10">
      <c r="A77" s="48">
        <f>'Students Names'!$A77</f>
        <v>0</v>
      </c>
      <c r="B77" s="49"/>
      <c r="C77" s="49"/>
      <c r="D77" s="49"/>
      <c r="E77" s="49"/>
      <c r="F77" s="49"/>
      <c r="G77" s="49"/>
      <c r="H77" s="49"/>
      <c r="I77" s="49"/>
      <c r="J77" s="49"/>
    </row>
    <row r="78" spans="1:10">
      <c r="A78" s="48">
        <f>'Students Names'!$A78</f>
        <v>0</v>
      </c>
      <c r="B78" s="49"/>
      <c r="C78" s="49"/>
      <c r="D78" s="49"/>
      <c r="E78" s="49"/>
      <c r="F78" s="49"/>
      <c r="G78" s="49"/>
      <c r="H78" s="49"/>
      <c r="I78" s="49"/>
      <c r="J78" s="49"/>
    </row>
    <row r="79" spans="1:10">
      <c r="A79" s="48">
        <f>'Students Names'!$A79</f>
        <v>0</v>
      </c>
      <c r="B79" s="49"/>
      <c r="C79" s="49"/>
      <c r="D79" s="49"/>
      <c r="E79" s="49"/>
      <c r="F79" s="49"/>
      <c r="G79" s="49"/>
      <c r="H79" s="49"/>
      <c r="I79" s="49"/>
      <c r="J79" s="49"/>
    </row>
    <row r="80" spans="1:10">
      <c r="A80" s="48">
        <f>'Students Names'!$A80</f>
        <v>0</v>
      </c>
      <c r="B80" s="49"/>
      <c r="C80" s="49"/>
      <c r="D80" s="49"/>
      <c r="E80" s="49"/>
      <c r="F80" s="49"/>
      <c r="G80" s="49"/>
      <c r="H80" s="49"/>
      <c r="I80" s="49"/>
      <c r="J80" s="49"/>
    </row>
  </sheetData>
  <sheetProtection algorithmName="SHA-512" hashValue="1R1fDAm1Mn+pwZ9I1lcktD7Pwn9Hx+9/ye13sQjN/+/KqGbd0GkZzMFzOPbEhx/dhJBbZjegUxNMXOB65mkUCA==" saltValue="fReqp3xjRusKOgKEUHJLlQ==" spinCount="100000" sheet="1" objects="1"/>
  <dataValidations count="2">
    <dataValidation allowBlank="1" showInputMessage="1" showErrorMessage="1" errorTitle="Error" error="Enter a VALID Exam&#10; Score. The score should&#10; not be LESS than 0 and&#10; NOT MORE than 100&#10;" sqref="A2:A80"/>
    <dataValidation type="whole" operator="between" allowBlank="1" showInputMessage="1" showErrorMessage="1" errorTitle="Error" error="Enter a VALID Exam&#10; Score. The score should&#10; not be LESS than 0 and&#10; NOT MORE than 100&#10;" sqref="B2:J80">
      <formula1>0</formula1>
      <formula2>100</formula2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4"/>
  <sheetViews>
    <sheetView zoomScale="84" zoomScaleNormal="84" workbookViewId="0">
      <selection activeCell="D8" sqref="D8"/>
    </sheetView>
  </sheetViews>
  <sheetFormatPr defaultColWidth="8.72727272727273" defaultRowHeight="14.5"/>
  <cols>
    <col min="1" max="1" width="27.1545454545455" customWidth="1"/>
    <col min="2" max="2" width="9.63636363636364" customWidth="1"/>
    <col min="3" max="3" width="11.0909090909091" customWidth="1"/>
    <col min="4" max="4" width="11.9090909090909" customWidth="1"/>
    <col min="5" max="5" width="8.27272727272727" customWidth="1"/>
    <col min="6" max="6" width="9.54545454545454" customWidth="1"/>
    <col min="7" max="7" width="10.3636363636364" customWidth="1"/>
    <col min="8" max="8" width="9.81818181818182" customWidth="1"/>
    <col min="9" max="9" width="11.2727272727273" customWidth="1"/>
    <col min="10" max="10" width="12.0909090909091" customWidth="1"/>
    <col min="11" max="11" width="9.63636363636364" customWidth="1"/>
    <col min="12" max="12" width="11.0909090909091" customWidth="1"/>
    <col min="13" max="13" width="11.9090909090909" customWidth="1"/>
    <col min="14" max="14" width="7.18181818181818" customWidth="1"/>
    <col min="15" max="15" width="8.45454545454546" customWidth="1"/>
    <col min="16" max="16" width="9.18181818181818" customWidth="1"/>
    <col min="17" max="17" width="14.4545454545455" customWidth="1"/>
    <col min="18" max="18" width="15.9090909090909" customWidth="1"/>
    <col min="19" max="19" width="16.7272727272727" customWidth="1"/>
    <col min="20" max="20" width="8.54545454545454" customWidth="1"/>
    <col min="21" max="21" width="9.81818181818182" customWidth="1"/>
    <col min="22" max="22" width="10.6363636363636" customWidth="1"/>
    <col min="23" max="23" width="13.0909090909091" customWidth="1"/>
    <col min="24" max="24" width="14.5454545454545" customWidth="1"/>
    <col min="25" max="25" width="15.3636363636364" customWidth="1"/>
    <col min="26" max="26" width="14.7272727272727" customWidth="1"/>
    <col min="27" max="27" width="16.1818181818182" customWidth="1"/>
    <col min="28" max="28" width="17" customWidth="1"/>
  </cols>
  <sheetData>
    <row r="1" s="41" customFormat="1" spans="2:28">
      <c r="B1" s="42" t="s">
        <v>16</v>
      </c>
      <c r="C1" s="42"/>
      <c r="D1" s="42"/>
      <c r="E1" s="42" t="s">
        <v>17</v>
      </c>
      <c r="F1" s="42"/>
      <c r="G1" s="42"/>
      <c r="H1" s="42" t="s">
        <v>18</v>
      </c>
      <c r="I1" s="42"/>
      <c r="J1" s="42"/>
      <c r="K1" s="42" t="s">
        <v>19</v>
      </c>
      <c r="L1" s="42"/>
      <c r="M1" s="42"/>
      <c r="N1" s="42" t="s">
        <v>20</v>
      </c>
      <c r="O1" s="42"/>
      <c r="P1" s="42"/>
      <c r="Q1" s="42" t="s">
        <v>21</v>
      </c>
      <c r="R1" s="42"/>
      <c r="S1" s="42"/>
      <c r="T1" s="42" t="s">
        <v>22</v>
      </c>
      <c r="U1" s="42"/>
      <c r="V1" s="42"/>
      <c r="W1" s="42" t="s">
        <v>23</v>
      </c>
      <c r="X1" s="42"/>
      <c r="Y1" s="42"/>
      <c r="Z1" s="42" t="s">
        <v>24</v>
      </c>
      <c r="AA1" s="42"/>
      <c r="AB1" s="42"/>
    </row>
    <row r="2" spans="1:29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83</v>
      </c>
      <c r="U2" t="s">
        <v>84</v>
      </c>
      <c r="V2" t="s">
        <v>85</v>
      </c>
      <c r="W2" t="s">
        <v>86</v>
      </c>
      <c r="X2" t="s">
        <v>87</v>
      </c>
      <c r="Y2" t="s">
        <v>88</v>
      </c>
      <c r="Z2" t="s">
        <v>89</v>
      </c>
      <c r="AA2" t="s">
        <v>90</v>
      </c>
      <c r="AB2" t="s">
        <v>91</v>
      </c>
      <c r="AC2" t="s">
        <v>92</v>
      </c>
    </row>
    <row r="3" spans="1:29">
      <c r="A3" s="43" t="str">
        <f>'Students Names'!$A2</f>
        <v>ADAM FATI</v>
      </c>
      <c r="B3" s="43">
        <f>IFERROR(Guide!$I$4*(SUM(ContinuousAssessment!B6:E6)/COUNTA(ContinuousAssessment!B6:E6)),"")</f>
        <v>24</v>
      </c>
      <c r="C3" s="43">
        <f>Guide!$H$4*testResults!B2</f>
        <v>56</v>
      </c>
      <c r="D3" s="43">
        <f>SUM(B3:C54)</f>
        <v>141.6</v>
      </c>
      <c r="E3" s="43" t="str">
        <f>IFERROR(Guide!$I$4*(SUM(ContinuousAssessment!$F6:$I6)/COUNTA(ContinuousAssessment!$F6:$I6)),"")</f>
        <v/>
      </c>
      <c r="F3" s="43">
        <f>Guide!$H$4*testResults!C2</f>
        <v>0</v>
      </c>
      <c r="G3" s="43">
        <f>SUM(E3:F54)</f>
        <v>0</v>
      </c>
      <c r="H3" s="43" t="str">
        <f>IFERROR(Guide!$I$4*SUM(ContinuousAssessment!$J6:$M6)/COUNTA(ContinuousAssessment!$J6:$M6),"")</f>
        <v/>
      </c>
      <c r="I3" s="43">
        <f>Guide!$H$4*testResults!D2</f>
        <v>0</v>
      </c>
      <c r="J3" s="43">
        <f>SUM(H3:I54)</f>
        <v>0</v>
      </c>
      <c r="K3" s="43" t="str">
        <f>IFERROR(SUM(ContinuousAssessment!$N6:$Q6)/COUNTA(ContinuousAssessment!$N6:$Q6)*Guide!$I$4,"")</f>
        <v/>
      </c>
      <c r="L3" s="43">
        <f>Guide!$H$4*testResults!$E2</f>
        <v>0</v>
      </c>
      <c r="M3" s="43">
        <f>SUM(K3:L54)</f>
        <v>0</v>
      </c>
      <c r="N3" s="43" t="str">
        <f>IFERROR(Guide!$I$4*(SUM(ContinuousAssessment!$R6:$U6))/COUNTA(ContinuousAssessment!R6:U6),"")</f>
        <v/>
      </c>
      <c r="O3" s="43">
        <f>Guide!$H$4*testResults!F2</f>
        <v>0</v>
      </c>
      <c r="P3" s="43">
        <f>SUM(N3:O54)</f>
        <v>0</v>
      </c>
      <c r="Q3" s="43" t="str">
        <f>IFERROR(Guide!$I$4*(SUM(ContinuousAssessment!$V6:$Y6)/COUNTA(ContinuousAssessment!$V6:$Y6)),"")</f>
        <v/>
      </c>
      <c r="R3" s="43">
        <f>Guide!$H$4*testResults!G2</f>
        <v>0</v>
      </c>
      <c r="S3" s="43">
        <f>SUM(Q3:R54)</f>
        <v>0</v>
      </c>
      <c r="T3" s="43" t="str">
        <f>IFERROR(Guide!$I$4*(SUM(ContinuousAssessment!$Z6:$AC6))/COUNTA(ContinuousAssessment!$Z6:$AC6),"")</f>
        <v/>
      </c>
      <c r="U3" s="43">
        <f>Guide!$H$4*testResults!H2</f>
        <v>0</v>
      </c>
      <c r="V3" s="43">
        <f>SUM(T3:U54)</f>
        <v>0</v>
      </c>
      <c r="W3" s="43" t="str">
        <f>IFERROR(((SUM(ContinuousAssessment!$AD6:$AF6))/COUNTA(ContinuousAssessment!$AD6:$AF6))*Guide!$I$4,"")</f>
        <v/>
      </c>
      <c r="X3" s="43">
        <f>Guide!$H$4*testResults!I2</f>
        <v>0</v>
      </c>
      <c r="Y3" s="43">
        <f>SUM(W3:X54)</f>
        <v>0</v>
      </c>
      <c r="Z3" s="43" t="str">
        <f>IFERROR((SUM(ContinuousAssessment!$AH6:$AK6)/COUNTA(ContinuousAssessment!AH6:AK6))*Guide!$I$4,"")</f>
        <v/>
      </c>
      <c r="AA3" s="43">
        <f>testResults!J2*Guide!$H$4</f>
        <v>0</v>
      </c>
      <c r="AB3" s="43">
        <f>SUM(Z3:AA54)</f>
        <v>0</v>
      </c>
      <c r="AC3" s="43">
        <f t="shared" ref="AC3:AC54" si="0">SUM(AB3,Y3,V3,S3,P3,M3,J3,G3,D3,)</f>
        <v>141.6</v>
      </c>
    </row>
    <row r="4" spans="1:29">
      <c r="A4" s="43" t="str">
        <f>'Students Names'!$A3</f>
        <v>ALAHASSAN IDDRISU</v>
      </c>
      <c r="B4" s="43" t="str">
        <f>IFERROR(Guide!$I$4*(SUM(ContinuousAssessment!B7:E7)/COUNTA(ContinuousAssessment!B7:E7)),"")</f>
        <v/>
      </c>
      <c r="C4" s="43">
        <f>Guide!$H$4*testResults!B3</f>
        <v>61.6</v>
      </c>
      <c r="D4" s="43">
        <f>SUM(B4:C5)</f>
        <v>61.6</v>
      </c>
      <c r="E4" s="43" t="str">
        <f>IFERROR(Guide!$I$4*(SUM(ContinuousAssessment!$F7:$I7)/COUNTA(ContinuousAssessment!$F7:$I7)),"")</f>
        <v/>
      </c>
      <c r="F4" s="43">
        <f>Guide!$H$4*testResults!C3</f>
        <v>0</v>
      </c>
      <c r="G4" s="43">
        <f>SUM(E4:F5)</f>
        <v>0</v>
      </c>
      <c r="H4" s="43" t="str">
        <f>IFERROR(Guide!$I$4*SUM(ContinuousAssessment!$J7:$M7)/COUNTA(ContinuousAssessment!$J7:$M7),"")</f>
        <v/>
      </c>
      <c r="I4" s="43">
        <f>Guide!$H$4*testResults!D3</f>
        <v>0</v>
      </c>
      <c r="J4" s="43">
        <f>SUM(H4:I5)</f>
        <v>0</v>
      </c>
      <c r="K4" s="43" t="str">
        <f>IFERROR(SUM(ContinuousAssessment!$N7:$Q7)/COUNTA(ContinuousAssessment!$N7:$Q7)*Guide!$I$4,"")</f>
        <v/>
      </c>
      <c r="L4" s="43">
        <f>Guide!$H$4*testResults!$E3</f>
        <v>0</v>
      </c>
      <c r="M4" s="43">
        <f>SUM(K4:L5)</f>
        <v>0</v>
      </c>
      <c r="N4" s="43" t="str">
        <f>IFERROR(Guide!$I$4*(SUM(ContinuousAssessment!$R7:$U7))/COUNTA(ContinuousAssessment!R7:U7),"")</f>
        <v/>
      </c>
      <c r="O4" s="43">
        <f>Guide!$H$4*testResults!F3</f>
        <v>0</v>
      </c>
      <c r="P4" s="43">
        <f>SUM(N4:O5)</f>
        <v>0</v>
      </c>
      <c r="Q4" s="43" t="str">
        <f>IFERROR(Guide!$I$4*(SUM(ContinuousAssessment!$V7:$Y7)/COUNTA(ContinuousAssessment!$V7:$Y7)),"")</f>
        <v/>
      </c>
      <c r="R4" s="43">
        <f>Guide!$H$4*testResults!G3</f>
        <v>0</v>
      </c>
      <c r="S4" s="43">
        <f>SUM(Q4:R5)</f>
        <v>0</v>
      </c>
      <c r="T4" s="43" t="str">
        <f>IFERROR(Guide!$I$4*(SUM(ContinuousAssessment!$Z7:$AC7))/COUNTA(ContinuousAssessment!$Z7:$AC7),"")</f>
        <v/>
      </c>
      <c r="U4" s="43">
        <f>Guide!$H$4*testResults!H3</f>
        <v>0</v>
      </c>
      <c r="V4" s="43">
        <f>SUM(T4:U5)</f>
        <v>0</v>
      </c>
      <c r="W4" s="43" t="str">
        <f>IFERROR(((SUM(ContinuousAssessment!$AD7:$AF7))/COUNTA(ContinuousAssessment!$AD7:$AF7))*Guide!$I$4,"")</f>
        <v/>
      </c>
      <c r="X4" s="43">
        <f>Guide!$H$4*testResults!I3</f>
        <v>0</v>
      </c>
      <c r="Y4" s="43">
        <f>SUM(W4:X5)</f>
        <v>0</v>
      </c>
      <c r="Z4" s="43" t="str">
        <f>IFERROR((SUM(ContinuousAssessment!$AH7:$AK7)/COUNTA(ContinuousAssessment!AH7:AK7))*Guide!$I$4,"")</f>
        <v/>
      </c>
      <c r="AA4" s="43">
        <f>testResults!J3*Guide!$H$4</f>
        <v>0</v>
      </c>
      <c r="AB4" s="43">
        <f>SUM(Z4:AA5)</f>
        <v>0</v>
      </c>
      <c r="AC4" s="43">
        <f t="shared" si="0"/>
        <v>61.6</v>
      </c>
    </row>
    <row r="5" spans="1:29">
      <c r="A5" s="43" t="str">
        <f>'Students Names'!$A4</f>
        <v>ALHASSAN FATIMA</v>
      </c>
      <c r="B5" s="43" t="str">
        <f>IFERROR(Guide!$I$4*(SUM(ContinuousAssessment!B8:E8)/COUNTA(ContinuousAssessment!B8:E8)),"")</f>
        <v/>
      </c>
      <c r="C5" s="44">
        <f>Guide!$H$4*testResults!B4</f>
        <v>0</v>
      </c>
      <c r="D5" s="44">
        <f t="shared" ref="D5:D54" si="1">SUM(B5:C56)</f>
        <v>0</v>
      </c>
      <c r="E5" s="43" t="str">
        <f>IFERROR(Guide!$I$4*(SUM(ContinuousAssessment!$F8:$I8)/COUNTA(ContinuousAssessment!$F8:$I8)),"")</f>
        <v/>
      </c>
      <c r="F5" s="44">
        <f>Guide!$H$4*testResults!C4</f>
        <v>0</v>
      </c>
      <c r="G5" s="44">
        <f t="shared" ref="G5:G54" si="2">SUM(E5:F56)</f>
        <v>0</v>
      </c>
      <c r="H5" s="43" t="str">
        <f>IFERROR(Guide!$I$4*SUM(ContinuousAssessment!$J8:$M8)/COUNTA(ContinuousAssessment!$J8:$M8),"")</f>
        <v/>
      </c>
      <c r="I5" s="44">
        <f>Guide!$H$4*testResults!D4</f>
        <v>0</v>
      </c>
      <c r="J5" s="44">
        <f t="shared" ref="J5:J54" si="3">SUM(H5:I56)</f>
        <v>0</v>
      </c>
      <c r="K5" s="43" t="str">
        <f>IFERROR(SUM(ContinuousAssessment!$N8:$Q8)/COUNTA(ContinuousAssessment!$N8:$Q8)*Guide!$I$4,"")</f>
        <v/>
      </c>
      <c r="L5" s="44">
        <f>Guide!$H$4*testResults!$E4</f>
        <v>0</v>
      </c>
      <c r="M5" s="44">
        <f t="shared" ref="M5:M54" si="4">SUM(K5:L56)</f>
        <v>0</v>
      </c>
      <c r="N5" s="43" t="str">
        <f>IFERROR(Guide!$I$4*(SUM(ContinuousAssessment!$R8:$U8))/COUNTA(ContinuousAssessment!R8:U8),"")</f>
        <v/>
      </c>
      <c r="O5" s="44">
        <f>Guide!$H$4*testResults!F4</f>
        <v>0</v>
      </c>
      <c r="P5" s="44">
        <f t="shared" ref="P5:P54" si="5">SUM(N5:O56)</f>
        <v>0</v>
      </c>
      <c r="Q5" s="43" t="str">
        <f>IFERROR(Guide!$I$4*(SUM(ContinuousAssessment!$V8:$Y8)/COUNTA(ContinuousAssessment!$V8:$Y8)),"")</f>
        <v/>
      </c>
      <c r="R5" s="44">
        <f>Guide!$H$4*testResults!G4</f>
        <v>0</v>
      </c>
      <c r="S5" s="44">
        <f t="shared" ref="S5:S54" si="6">SUM(Q5:R56)</f>
        <v>0</v>
      </c>
      <c r="T5" s="43" t="str">
        <f>IFERROR(Guide!$I$4*(SUM(ContinuousAssessment!$Z8:$AC8))/COUNTA(ContinuousAssessment!$Z8:$AC8),"")</f>
        <v/>
      </c>
      <c r="U5" s="44">
        <f>Guide!$H$4*testResults!H4</f>
        <v>0</v>
      </c>
      <c r="V5" s="44">
        <f t="shared" ref="V5:V54" si="7">SUM(T5:U56)</f>
        <v>0</v>
      </c>
      <c r="W5" s="43" t="str">
        <f>IFERROR(((SUM(ContinuousAssessment!$AD8:$AF8))/COUNTA(ContinuousAssessment!$AD8:$AF8))*Guide!$I$4,"")</f>
        <v/>
      </c>
      <c r="X5" s="44">
        <f>Guide!$H$4*testResults!I4</f>
        <v>0</v>
      </c>
      <c r="Y5" s="44">
        <f t="shared" ref="Y5:Y54" si="8">SUM(W5:X56)</f>
        <v>0</v>
      </c>
      <c r="Z5" s="43" t="str">
        <f>IFERROR((SUM(ContinuousAssessment!$AH8:$AK8)/COUNTA(ContinuousAssessment!AH8:AK8))*Guide!$I$4,"")</f>
        <v/>
      </c>
      <c r="AA5" s="44">
        <f>testResults!J4*Guide!$H$4</f>
        <v>0</v>
      </c>
      <c r="AB5" s="44">
        <f t="shared" ref="AB5:AB54" si="9">SUM(Z5:AA56)</f>
        <v>0</v>
      </c>
      <c r="AC5" s="44">
        <f t="shared" si="0"/>
        <v>0</v>
      </c>
    </row>
    <row r="6" spans="1:29">
      <c r="A6" s="43" t="str">
        <f>'Students Names'!$A5</f>
        <v>BABA FUSEINI</v>
      </c>
      <c r="B6" s="43" t="str">
        <f>IFERROR(Guide!$I$4*(SUM(ContinuousAssessment!B9:E9)/COUNTA(ContinuousAssessment!B9:E9)),"")</f>
        <v/>
      </c>
      <c r="C6" s="44">
        <f>Guide!$H$4*testResults!B5</f>
        <v>0</v>
      </c>
      <c r="D6" s="44">
        <f t="shared" si="1"/>
        <v>0</v>
      </c>
      <c r="E6" s="43" t="str">
        <f>IFERROR(Guide!$I$4*(SUM(ContinuousAssessment!$F9:$I9)/COUNTA(ContinuousAssessment!$F9:$I9)),"")</f>
        <v/>
      </c>
      <c r="F6" s="44">
        <f>Guide!$H$4*testResults!C5</f>
        <v>0</v>
      </c>
      <c r="G6" s="44">
        <f t="shared" si="2"/>
        <v>0</v>
      </c>
      <c r="H6" s="43" t="str">
        <f>IFERROR(Guide!$I$4*SUM(ContinuousAssessment!$J9:$M9)/COUNTA(ContinuousAssessment!$J9:$M9),"")</f>
        <v/>
      </c>
      <c r="I6" s="44">
        <f>Guide!$H$4*testResults!D5</f>
        <v>0</v>
      </c>
      <c r="J6" s="44">
        <f t="shared" si="3"/>
        <v>0</v>
      </c>
      <c r="K6" s="43" t="str">
        <f>IFERROR(SUM(ContinuousAssessment!$N9:$Q9)/COUNTA(ContinuousAssessment!$N9:$Q9)*Guide!$I$4,"")</f>
        <v/>
      </c>
      <c r="L6" s="44">
        <f>Guide!$H$4*testResults!$E5</f>
        <v>0</v>
      </c>
      <c r="M6" s="44">
        <f t="shared" si="4"/>
        <v>0</v>
      </c>
      <c r="N6" s="43" t="str">
        <f>IFERROR(Guide!$I$4*(SUM(ContinuousAssessment!$R9:$U9))/COUNTA(ContinuousAssessment!R9:U9),"")</f>
        <v/>
      </c>
      <c r="O6" s="44">
        <f>Guide!$H$4*testResults!F5</f>
        <v>0</v>
      </c>
      <c r="P6" s="44">
        <f t="shared" si="5"/>
        <v>0</v>
      </c>
      <c r="Q6" s="43" t="str">
        <f>IFERROR(Guide!$I$4*(SUM(ContinuousAssessment!$V9:$Y9)/COUNTA(ContinuousAssessment!$V9:$Y9)),"")</f>
        <v/>
      </c>
      <c r="R6" s="44">
        <f>Guide!$H$4*testResults!G5</f>
        <v>0</v>
      </c>
      <c r="S6" s="44">
        <f t="shared" si="6"/>
        <v>0</v>
      </c>
      <c r="T6" s="43" t="str">
        <f>IFERROR(Guide!$I$4*(SUM(ContinuousAssessment!$Z9:$AC9))/COUNTA(ContinuousAssessment!$Z9:$AC9),"")</f>
        <v/>
      </c>
      <c r="U6" s="44">
        <f>Guide!$H$4*testResults!H5</f>
        <v>0</v>
      </c>
      <c r="V6" s="44">
        <f t="shared" si="7"/>
        <v>0</v>
      </c>
      <c r="W6" s="43" t="str">
        <f>IFERROR(((SUM(ContinuousAssessment!$AD9:$AF9))/COUNTA(ContinuousAssessment!$AD9:$AF9))*Guide!$I$4,"")</f>
        <v/>
      </c>
      <c r="X6" s="44">
        <f>Guide!$H$4*testResults!I5</f>
        <v>0</v>
      </c>
      <c r="Y6" s="44">
        <f t="shared" si="8"/>
        <v>0</v>
      </c>
      <c r="Z6" s="43" t="str">
        <f>IFERROR((SUM(ContinuousAssessment!$AH9:$AK9)/COUNTA(ContinuousAssessment!AH9:AK9))*Guide!$I$4,"")</f>
        <v/>
      </c>
      <c r="AA6" s="44">
        <f>testResults!J5*Guide!$H$4</f>
        <v>0</v>
      </c>
      <c r="AB6" s="44">
        <f t="shared" si="9"/>
        <v>0</v>
      </c>
      <c r="AC6" s="44">
        <f t="shared" si="0"/>
        <v>0</v>
      </c>
    </row>
    <row r="7" spans="1:29">
      <c r="A7" s="43" t="str">
        <f>'Students Names'!$A6</f>
        <v>INUSAH FATAW</v>
      </c>
      <c r="B7" s="43" t="str">
        <f>IFERROR(Guide!$I$4*(SUM(ContinuousAssessment!B10:E10)/COUNTA(ContinuousAssessment!B10:E10)),"")</f>
        <v/>
      </c>
      <c r="C7" s="44">
        <f>Guide!$H$4*testResults!B6</f>
        <v>0</v>
      </c>
      <c r="D7" s="44">
        <f t="shared" si="1"/>
        <v>0</v>
      </c>
      <c r="E7" s="43" t="str">
        <f>IFERROR(Guide!$I$4*(SUM(ContinuousAssessment!$F10:$I10)/COUNTA(ContinuousAssessment!$F10:$I10)),"")</f>
        <v/>
      </c>
      <c r="F7" s="44">
        <f>Guide!$H$4*testResults!C6</f>
        <v>0</v>
      </c>
      <c r="G7" s="44">
        <f t="shared" si="2"/>
        <v>0</v>
      </c>
      <c r="H7" s="43" t="str">
        <f>IFERROR(Guide!$I$4*SUM(ContinuousAssessment!$J10:$M10)/COUNTA(ContinuousAssessment!$J10:$M10),"")</f>
        <v/>
      </c>
      <c r="I7" s="44">
        <f>Guide!$H$4*testResults!D6</f>
        <v>0</v>
      </c>
      <c r="J7" s="44">
        <f t="shared" si="3"/>
        <v>0</v>
      </c>
      <c r="K7" s="43" t="str">
        <f>IFERROR(SUM(ContinuousAssessment!$N10:$Q10)/COUNTA(ContinuousAssessment!$N10:$Q10)*Guide!$I$4,"")</f>
        <v/>
      </c>
      <c r="L7" s="44">
        <f>Guide!$H$4*testResults!$E6</f>
        <v>0</v>
      </c>
      <c r="M7" s="44">
        <f t="shared" si="4"/>
        <v>0</v>
      </c>
      <c r="N7" s="43" t="str">
        <f>IFERROR(Guide!$I$4*(SUM(ContinuousAssessment!$R10:$U10))/COUNTA(ContinuousAssessment!R10:U10),"")</f>
        <v/>
      </c>
      <c r="O7" s="44">
        <f>Guide!$H$4*testResults!F6</f>
        <v>0</v>
      </c>
      <c r="P7" s="44">
        <f t="shared" si="5"/>
        <v>0</v>
      </c>
      <c r="Q7" s="43" t="str">
        <f>IFERROR(Guide!$I$4*(SUM(ContinuousAssessment!$V10:$Y10)/COUNTA(ContinuousAssessment!$V10:$Y10)),"")</f>
        <v/>
      </c>
      <c r="R7" s="44">
        <f>Guide!$H$4*testResults!G6</f>
        <v>0</v>
      </c>
      <c r="S7" s="44">
        <f t="shared" si="6"/>
        <v>0</v>
      </c>
      <c r="T7" s="43" t="str">
        <f>IFERROR(Guide!$I$4*(SUM(ContinuousAssessment!$Z10:$AC10))/COUNTA(ContinuousAssessment!$Z10:$AC10),"")</f>
        <v/>
      </c>
      <c r="U7" s="44">
        <f>Guide!$H$4*testResults!H6</f>
        <v>0</v>
      </c>
      <c r="V7" s="44">
        <f t="shared" si="7"/>
        <v>0</v>
      </c>
      <c r="W7" s="43" t="str">
        <f>IFERROR(((SUM(ContinuousAssessment!$AD10:$AF10))/COUNTA(ContinuousAssessment!$AD10:$AF10))*Guide!$I$4,"")</f>
        <v/>
      </c>
      <c r="X7" s="44">
        <f>Guide!$H$4*testResults!I6</f>
        <v>0</v>
      </c>
      <c r="Y7" s="44">
        <f t="shared" si="8"/>
        <v>0</v>
      </c>
      <c r="Z7" s="43" t="str">
        <f>IFERROR((SUM(ContinuousAssessment!$AH10:$AK10)/COUNTA(ContinuousAssessment!AH10:AK10))*Guide!$I$4,"")</f>
        <v/>
      </c>
      <c r="AA7" s="44">
        <f>testResults!J6*Guide!$H$4</f>
        <v>0</v>
      </c>
      <c r="AB7" s="44">
        <f t="shared" si="9"/>
        <v>0</v>
      </c>
      <c r="AC7" s="44">
        <f t="shared" si="0"/>
        <v>0</v>
      </c>
    </row>
    <row r="8" spans="1:29">
      <c r="A8" s="43">
        <f>'Students Names'!$A7</f>
        <v>0</v>
      </c>
      <c r="B8" s="43" t="str">
        <f>IFERROR(Guide!$I$4*(SUM(ContinuousAssessment!B11:E11)/COUNTA(ContinuousAssessment!B11:E11)),"")</f>
        <v/>
      </c>
      <c r="C8" s="44">
        <f>Guide!$H$4*testResults!B7</f>
        <v>0</v>
      </c>
      <c r="D8" s="44">
        <f t="shared" si="1"/>
        <v>0</v>
      </c>
      <c r="E8" s="43" t="str">
        <f>IFERROR(Guide!$I$4*(SUM(ContinuousAssessment!$F11:$I11)/COUNTA(ContinuousAssessment!$F11:$I11)),"")</f>
        <v/>
      </c>
      <c r="F8" s="44">
        <f>Guide!$H$4*testResults!C7</f>
        <v>0</v>
      </c>
      <c r="G8" s="44">
        <f t="shared" si="2"/>
        <v>0</v>
      </c>
      <c r="H8" s="43" t="str">
        <f>IFERROR(Guide!$I$4*SUM(ContinuousAssessment!$J11:$M11)/COUNTA(ContinuousAssessment!$J11:$M11),"")</f>
        <v/>
      </c>
      <c r="I8" s="44">
        <f>Guide!$H$4*testResults!D7</f>
        <v>0</v>
      </c>
      <c r="J8" s="44">
        <f t="shared" si="3"/>
        <v>0</v>
      </c>
      <c r="K8" s="43" t="str">
        <f>IFERROR(SUM(ContinuousAssessment!$N11:$Q11)/COUNTA(ContinuousAssessment!$N11:$Q11)*Guide!$I$4,"")</f>
        <v/>
      </c>
      <c r="L8" s="44">
        <f>Guide!$H$4*testResults!$E7</f>
        <v>0</v>
      </c>
      <c r="M8" s="44">
        <f t="shared" si="4"/>
        <v>0</v>
      </c>
      <c r="N8" s="43" t="str">
        <f>IFERROR(Guide!$I$4*(SUM(ContinuousAssessment!$R11:$U11))/COUNTA(ContinuousAssessment!R11:U11),"")</f>
        <v/>
      </c>
      <c r="O8" s="44">
        <f>Guide!$H$4*testResults!F7</f>
        <v>0</v>
      </c>
      <c r="P8" s="44">
        <f t="shared" si="5"/>
        <v>0</v>
      </c>
      <c r="Q8" s="43" t="str">
        <f>IFERROR(Guide!$I$4*(SUM(ContinuousAssessment!$V11:$Y11)/COUNTA(ContinuousAssessment!$V11:$Y11)),"")</f>
        <v/>
      </c>
      <c r="R8" s="44">
        <f>Guide!$H$4*testResults!G7</f>
        <v>0</v>
      </c>
      <c r="S8" s="44">
        <f t="shared" si="6"/>
        <v>0</v>
      </c>
      <c r="T8" s="43" t="str">
        <f>IFERROR(Guide!$I$4*(SUM(ContinuousAssessment!$Z11:$AC11))/COUNTA(ContinuousAssessment!$Z11:$AC11),"")</f>
        <v/>
      </c>
      <c r="U8" s="44">
        <f>Guide!$H$4*testResults!H7</f>
        <v>0</v>
      </c>
      <c r="V8" s="44">
        <f t="shared" si="7"/>
        <v>0</v>
      </c>
      <c r="W8" s="43" t="str">
        <f>IFERROR(((SUM(ContinuousAssessment!$AD11:$AF11))/COUNTA(ContinuousAssessment!$AD11:$AF11))*Guide!$I$4,"")</f>
        <v/>
      </c>
      <c r="X8" s="44">
        <f>Guide!$H$4*testResults!I7</f>
        <v>0</v>
      </c>
      <c r="Y8" s="44">
        <f t="shared" si="8"/>
        <v>0</v>
      </c>
      <c r="Z8" s="43" t="str">
        <f>IFERROR((SUM(ContinuousAssessment!$AH11:$AK11)/COUNTA(ContinuousAssessment!AH11:AK11))*Guide!$I$4,"")</f>
        <v/>
      </c>
      <c r="AA8" s="44">
        <f>testResults!J7*Guide!$H$4</f>
        <v>0</v>
      </c>
      <c r="AB8" s="44">
        <f t="shared" si="9"/>
        <v>0</v>
      </c>
      <c r="AC8" s="44">
        <f t="shared" si="0"/>
        <v>0</v>
      </c>
    </row>
    <row r="9" spans="1:29">
      <c r="A9" s="43">
        <f>'Students Names'!$A8</f>
        <v>0</v>
      </c>
      <c r="B9" s="43" t="str">
        <f>IFERROR(Guide!$I$4*(SUM(ContinuousAssessment!B12:E12)/COUNTA(ContinuousAssessment!B12:E12)),"")</f>
        <v/>
      </c>
      <c r="C9" s="44">
        <f>Guide!$H$4*testResults!B8</f>
        <v>0</v>
      </c>
      <c r="D9" s="44">
        <f t="shared" si="1"/>
        <v>0</v>
      </c>
      <c r="E9" s="43" t="str">
        <f>IFERROR(Guide!$I$4*(SUM(ContinuousAssessment!$F12:$I12)/COUNTA(ContinuousAssessment!$F12:$I12)),"")</f>
        <v/>
      </c>
      <c r="F9" s="44">
        <f>Guide!$H$4*testResults!C8</f>
        <v>0</v>
      </c>
      <c r="G9" s="44">
        <f t="shared" si="2"/>
        <v>0</v>
      </c>
      <c r="H9" s="43" t="str">
        <f>IFERROR(Guide!$I$4*SUM(ContinuousAssessment!$J12:$M12)/COUNTA(ContinuousAssessment!$J12:$M12),"")</f>
        <v/>
      </c>
      <c r="I9" s="44">
        <f>Guide!$H$4*testResults!D8</f>
        <v>0</v>
      </c>
      <c r="J9" s="44">
        <f t="shared" si="3"/>
        <v>0</v>
      </c>
      <c r="K9" s="43" t="str">
        <f>IFERROR(SUM(ContinuousAssessment!$N12:$Q12)/COUNTA(ContinuousAssessment!$N12:$Q12)*Guide!$I$4,"")</f>
        <v/>
      </c>
      <c r="L9" s="44">
        <f>Guide!$H$4*testResults!$E8</f>
        <v>0</v>
      </c>
      <c r="M9" s="44">
        <f t="shared" si="4"/>
        <v>0</v>
      </c>
      <c r="N9" s="43" t="str">
        <f>IFERROR(Guide!$I$4*(SUM(ContinuousAssessment!$R12:$U12))/COUNTA(ContinuousAssessment!R12:U12),"")</f>
        <v/>
      </c>
      <c r="O9" s="44">
        <f>Guide!$H$4*testResults!F8</f>
        <v>0</v>
      </c>
      <c r="P9" s="44">
        <f t="shared" si="5"/>
        <v>0</v>
      </c>
      <c r="Q9" s="43" t="str">
        <f>IFERROR(Guide!$I$4*(SUM(ContinuousAssessment!$V12:$Y12)/COUNTA(ContinuousAssessment!$V12:$Y12)),"")</f>
        <v/>
      </c>
      <c r="R9" s="44">
        <f>Guide!$H$4*testResults!G8</f>
        <v>0</v>
      </c>
      <c r="S9" s="44">
        <f t="shared" si="6"/>
        <v>0</v>
      </c>
      <c r="T9" s="43" t="str">
        <f>IFERROR(Guide!$I$4*(SUM(ContinuousAssessment!$Z12:$AC12))/COUNTA(ContinuousAssessment!$Z12:$AC12),"")</f>
        <v/>
      </c>
      <c r="U9" s="44">
        <f>Guide!$H$4*testResults!H8</f>
        <v>0</v>
      </c>
      <c r="V9" s="44">
        <f t="shared" si="7"/>
        <v>0</v>
      </c>
      <c r="W9" s="43" t="str">
        <f>IFERROR(((SUM(ContinuousAssessment!$AD12:$AF12))/COUNTA(ContinuousAssessment!$AD12:$AF12))*Guide!$I$4,"")</f>
        <v/>
      </c>
      <c r="X9" s="44">
        <f>Guide!$H$4*testResults!I8</f>
        <v>0</v>
      </c>
      <c r="Y9" s="44">
        <f t="shared" si="8"/>
        <v>0</v>
      </c>
      <c r="Z9" s="43" t="str">
        <f>IFERROR((SUM(ContinuousAssessment!$AH12:$AK12)/COUNTA(ContinuousAssessment!AH12:AK12))*Guide!$I$4,"")</f>
        <v/>
      </c>
      <c r="AA9" s="44">
        <f>testResults!J8*Guide!$H$4</f>
        <v>0</v>
      </c>
      <c r="AB9" s="44">
        <f t="shared" si="9"/>
        <v>0</v>
      </c>
      <c r="AC9" s="44">
        <f t="shared" si="0"/>
        <v>0</v>
      </c>
    </row>
    <row r="10" spans="1:29">
      <c r="A10" s="43">
        <f>'Students Names'!$A9</f>
        <v>0</v>
      </c>
      <c r="B10" s="43" t="str">
        <f>IFERROR(Guide!$I$4*(SUM(ContinuousAssessment!B13:E13)/COUNTA(ContinuousAssessment!B13:E13)),"")</f>
        <v/>
      </c>
      <c r="C10" s="44">
        <f>Guide!$H$4*testResults!B9</f>
        <v>0</v>
      </c>
      <c r="D10" s="44">
        <f t="shared" si="1"/>
        <v>0</v>
      </c>
      <c r="E10" s="43" t="str">
        <f>IFERROR(Guide!$I$4*(SUM(ContinuousAssessment!$F13:$I13)/COUNTA(ContinuousAssessment!$F13:$I13)),"")</f>
        <v/>
      </c>
      <c r="F10" s="44">
        <f>Guide!$H$4*testResults!C9</f>
        <v>0</v>
      </c>
      <c r="G10" s="44">
        <f t="shared" si="2"/>
        <v>0</v>
      </c>
      <c r="H10" s="43" t="str">
        <f>IFERROR(Guide!$I$4*SUM(ContinuousAssessment!$J13:$M13)/COUNTA(ContinuousAssessment!$J13:$M13),"")</f>
        <v/>
      </c>
      <c r="I10" s="44">
        <f>Guide!$H$4*testResults!D9</f>
        <v>0</v>
      </c>
      <c r="J10" s="44">
        <f t="shared" si="3"/>
        <v>0</v>
      </c>
      <c r="K10" s="43" t="str">
        <f>IFERROR(SUM(ContinuousAssessment!$N13:$Q13)/COUNTA(ContinuousAssessment!$N13:$Q13)*Guide!$I$4,"")</f>
        <v/>
      </c>
      <c r="L10" s="44">
        <f>Guide!$H$4*testResults!$E9</f>
        <v>0</v>
      </c>
      <c r="M10" s="44">
        <f t="shared" si="4"/>
        <v>0</v>
      </c>
      <c r="N10" s="43" t="str">
        <f>IFERROR(Guide!$I$4*(SUM(ContinuousAssessment!$R13:$U13))/COUNTA(ContinuousAssessment!R13:U13),"")</f>
        <v/>
      </c>
      <c r="O10" s="44">
        <f>Guide!$H$4*testResults!F9</f>
        <v>0</v>
      </c>
      <c r="P10" s="44">
        <f t="shared" si="5"/>
        <v>0</v>
      </c>
      <c r="Q10" s="43" t="str">
        <f>IFERROR(Guide!$I$4*(SUM(ContinuousAssessment!$V13:$Y13)/COUNTA(ContinuousAssessment!$V13:$Y13)),"")</f>
        <v/>
      </c>
      <c r="R10" s="44">
        <f>Guide!$H$4*testResults!G9</f>
        <v>0</v>
      </c>
      <c r="S10" s="44">
        <f t="shared" si="6"/>
        <v>0</v>
      </c>
      <c r="T10" s="43" t="str">
        <f>IFERROR(Guide!$I$4*(SUM(ContinuousAssessment!$Z13:$AC13))/COUNTA(ContinuousAssessment!$Z13:$AC13),"")</f>
        <v/>
      </c>
      <c r="U10" s="44">
        <f>Guide!$H$4*testResults!H9</f>
        <v>0</v>
      </c>
      <c r="V10" s="44">
        <f t="shared" si="7"/>
        <v>0</v>
      </c>
      <c r="W10" s="43" t="str">
        <f>IFERROR(((SUM(ContinuousAssessment!$AD13:$AF13))/COUNTA(ContinuousAssessment!$AD13:$AF13))*Guide!$I$4,"")</f>
        <v/>
      </c>
      <c r="X10" s="44">
        <f>Guide!$H$4*testResults!I9</f>
        <v>0</v>
      </c>
      <c r="Y10" s="44">
        <f t="shared" si="8"/>
        <v>0</v>
      </c>
      <c r="Z10" s="43" t="str">
        <f>IFERROR((SUM(ContinuousAssessment!$AH13:$AK13)/COUNTA(ContinuousAssessment!AH13:AK13))*Guide!$I$4,"")</f>
        <v/>
      </c>
      <c r="AA10" s="44">
        <f>testResults!J9*Guide!$H$4</f>
        <v>0</v>
      </c>
      <c r="AB10" s="44">
        <f t="shared" si="9"/>
        <v>0</v>
      </c>
      <c r="AC10" s="44">
        <f t="shared" si="0"/>
        <v>0</v>
      </c>
    </row>
    <row r="11" spans="1:29">
      <c r="A11" s="43">
        <f>'Students Names'!$A10</f>
        <v>0</v>
      </c>
      <c r="B11" s="43" t="str">
        <f>IFERROR(Guide!$I$4*(SUM(ContinuousAssessment!B14:E14)/COUNTA(ContinuousAssessment!B14:E14)),"")</f>
        <v/>
      </c>
      <c r="C11" s="44">
        <f>Guide!$H$4*testResults!B10</f>
        <v>0</v>
      </c>
      <c r="D11" s="44">
        <f t="shared" si="1"/>
        <v>0</v>
      </c>
      <c r="E11" s="43" t="str">
        <f>IFERROR(Guide!$I$4*(SUM(ContinuousAssessment!$F14:$I14)/COUNTA(ContinuousAssessment!$F14:$I14)),"")</f>
        <v/>
      </c>
      <c r="F11" s="44">
        <f>Guide!$H$4*testResults!C10</f>
        <v>0</v>
      </c>
      <c r="G11" s="44">
        <f t="shared" si="2"/>
        <v>0</v>
      </c>
      <c r="H11" s="43" t="str">
        <f>IFERROR(Guide!$I$4*SUM(ContinuousAssessment!$J14:$M14)/COUNTA(ContinuousAssessment!$J14:$M14),"")</f>
        <v/>
      </c>
      <c r="I11" s="44">
        <f>Guide!$H$4*testResults!D10</f>
        <v>0</v>
      </c>
      <c r="J11" s="44">
        <f t="shared" si="3"/>
        <v>0</v>
      </c>
      <c r="K11" s="43" t="str">
        <f>IFERROR(SUM(ContinuousAssessment!$N14:$Q14)/COUNTA(ContinuousAssessment!$N14:$Q14)*Guide!$I$4,"")</f>
        <v/>
      </c>
      <c r="L11" s="44">
        <f>Guide!$H$4*testResults!$E10</f>
        <v>0</v>
      </c>
      <c r="M11" s="44">
        <f t="shared" si="4"/>
        <v>0</v>
      </c>
      <c r="N11" s="43" t="str">
        <f>IFERROR(Guide!$I$4*(SUM(ContinuousAssessment!$R14:$U14))/COUNTA(ContinuousAssessment!R14:U14),"")</f>
        <v/>
      </c>
      <c r="O11" s="44">
        <f>Guide!$H$4*testResults!F10</f>
        <v>0</v>
      </c>
      <c r="P11" s="44">
        <f t="shared" si="5"/>
        <v>0</v>
      </c>
      <c r="Q11" s="43" t="str">
        <f>IFERROR(Guide!$I$4*(SUM(ContinuousAssessment!$V14:$Y14)/COUNTA(ContinuousAssessment!$V14:$Y14)),"")</f>
        <v/>
      </c>
      <c r="R11" s="44">
        <f>Guide!$H$4*testResults!G10</f>
        <v>0</v>
      </c>
      <c r="S11" s="44">
        <f t="shared" si="6"/>
        <v>0</v>
      </c>
      <c r="T11" s="43" t="str">
        <f>IFERROR(Guide!$I$4*(SUM(ContinuousAssessment!$Z14:$AC14))/COUNTA(ContinuousAssessment!$Z14:$AC14),"")</f>
        <v/>
      </c>
      <c r="U11" s="44">
        <f>Guide!$H$4*testResults!H10</f>
        <v>0</v>
      </c>
      <c r="V11" s="44">
        <f t="shared" si="7"/>
        <v>0</v>
      </c>
      <c r="W11" s="43" t="str">
        <f>IFERROR(((SUM(ContinuousAssessment!$AD14:$AF14))/COUNTA(ContinuousAssessment!$AD14:$AF14))*Guide!$I$4,"")</f>
        <v/>
      </c>
      <c r="X11" s="44">
        <f>Guide!$H$4*testResults!I10</f>
        <v>0</v>
      </c>
      <c r="Y11" s="44">
        <f t="shared" si="8"/>
        <v>0</v>
      </c>
      <c r="Z11" s="43" t="str">
        <f>IFERROR((SUM(ContinuousAssessment!$AH14:$AK14)/COUNTA(ContinuousAssessment!AH14:AK14))*Guide!$I$4,"")</f>
        <v/>
      </c>
      <c r="AA11" s="44">
        <f>testResults!J10*Guide!$H$4</f>
        <v>0</v>
      </c>
      <c r="AB11" s="44">
        <f t="shared" si="9"/>
        <v>0</v>
      </c>
      <c r="AC11" s="44">
        <f t="shared" si="0"/>
        <v>0</v>
      </c>
    </row>
    <row r="12" spans="1:29">
      <c r="A12" s="43">
        <f>'Students Names'!$A11</f>
        <v>0</v>
      </c>
      <c r="B12" s="43" t="str">
        <f>IFERROR(Guide!$I$4*(SUM(ContinuousAssessment!B15:E15)/COUNTA(ContinuousAssessment!B15:E15)),"")</f>
        <v/>
      </c>
      <c r="C12" s="44">
        <f>Guide!$H$4*testResults!B11</f>
        <v>0</v>
      </c>
      <c r="D12" s="44">
        <f t="shared" si="1"/>
        <v>0</v>
      </c>
      <c r="E12" s="43" t="str">
        <f>IFERROR(Guide!$I$4*(SUM(ContinuousAssessment!$F15:$I15)/COUNTA(ContinuousAssessment!$F15:$I15)),"")</f>
        <v/>
      </c>
      <c r="F12" s="44">
        <f>Guide!$H$4*testResults!C11</f>
        <v>0</v>
      </c>
      <c r="G12" s="44">
        <f t="shared" si="2"/>
        <v>0</v>
      </c>
      <c r="H12" s="43" t="str">
        <f>IFERROR(Guide!$I$4*SUM(ContinuousAssessment!$J15:$M15)/COUNTA(ContinuousAssessment!$J15:$M15),"")</f>
        <v/>
      </c>
      <c r="I12" s="44">
        <f>Guide!$H$4*testResults!D11</f>
        <v>0</v>
      </c>
      <c r="J12" s="44">
        <f t="shared" si="3"/>
        <v>0</v>
      </c>
      <c r="K12" s="43"/>
      <c r="L12" s="44">
        <f>Guide!$H$4*testResults!$E11</f>
        <v>0</v>
      </c>
      <c r="M12" s="44">
        <f t="shared" si="4"/>
        <v>0</v>
      </c>
      <c r="N12" s="43" t="str">
        <f>IFERROR(Guide!$I$4*(SUM(ContinuousAssessment!$R15:$U15))/COUNTA(ContinuousAssessment!R15:U15),"")</f>
        <v/>
      </c>
      <c r="O12" s="44">
        <f>Guide!$H$4*testResults!F11</f>
        <v>0</v>
      </c>
      <c r="P12" s="44">
        <f t="shared" si="5"/>
        <v>0</v>
      </c>
      <c r="Q12" s="43" t="str">
        <f>IFERROR(Guide!$I$4*(SUM(ContinuousAssessment!$V15:$Y15)/COUNTA(ContinuousAssessment!$V15:$Y15)),"")</f>
        <v/>
      </c>
      <c r="R12" s="44">
        <f>Guide!$H$4*testResults!G11</f>
        <v>0</v>
      </c>
      <c r="S12" s="44">
        <f t="shared" si="6"/>
        <v>0</v>
      </c>
      <c r="T12" s="43" t="str">
        <f>IFERROR(Guide!$I$4*(SUM(ContinuousAssessment!$Z15:$AC15))/COUNTA(ContinuousAssessment!$Z15:$AC15),"")</f>
        <v/>
      </c>
      <c r="U12" s="44">
        <f>Guide!$H$4*testResults!H11</f>
        <v>0</v>
      </c>
      <c r="V12" s="44">
        <f t="shared" si="7"/>
        <v>0</v>
      </c>
      <c r="W12" s="43" t="str">
        <f>IFERROR(((SUM(ContinuousAssessment!$AD15:$AF15))/COUNTA(ContinuousAssessment!$AD15:$AF15))*Guide!$I$4,"")</f>
        <v/>
      </c>
      <c r="X12" s="44">
        <f>Guide!$H$4*testResults!I11</f>
        <v>0</v>
      </c>
      <c r="Y12" s="44">
        <f t="shared" si="8"/>
        <v>0</v>
      </c>
      <c r="Z12" s="43" t="str">
        <f>IFERROR((SUM(ContinuousAssessment!$AH15:$AK15)/COUNTA(ContinuousAssessment!AH15:AK15))*Guide!$I$4,"")</f>
        <v/>
      </c>
      <c r="AA12" s="44">
        <f>testResults!J11*Guide!$H$4</f>
        <v>0</v>
      </c>
      <c r="AB12" s="44">
        <f t="shared" si="9"/>
        <v>0</v>
      </c>
      <c r="AC12" s="44">
        <f t="shared" si="0"/>
        <v>0</v>
      </c>
    </row>
    <row r="13" spans="1:29">
      <c r="A13" s="43">
        <f>'Students Names'!$A12</f>
        <v>0</v>
      </c>
      <c r="B13" s="43" t="str">
        <f>IFERROR(Guide!$I$4*(SUM(ContinuousAssessment!B16:E16)/COUNTA(ContinuousAssessment!B16:E16)),"")</f>
        <v/>
      </c>
      <c r="C13" s="44">
        <f>Guide!$H$4*testResults!B12</f>
        <v>0</v>
      </c>
      <c r="D13" s="44">
        <f t="shared" si="1"/>
        <v>0</v>
      </c>
      <c r="E13" s="43" t="str">
        <f>IFERROR(Guide!$I$4*(SUM(ContinuousAssessment!$F16:$I16)/COUNTA(ContinuousAssessment!$F16:$I16)),"")</f>
        <v/>
      </c>
      <c r="F13" s="44">
        <f>Guide!$H$4*testResults!C12</f>
        <v>0</v>
      </c>
      <c r="G13" s="44">
        <f t="shared" si="2"/>
        <v>0</v>
      </c>
      <c r="H13" s="43" t="str">
        <f>IFERROR(Guide!$I$4*SUM(ContinuousAssessment!$J16:$M16)/COUNTA(ContinuousAssessment!$J16:$M16),"")</f>
        <v/>
      </c>
      <c r="I13" s="44">
        <f>Guide!$H$4*testResults!D12</f>
        <v>0</v>
      </c>
      <c r="J13" s="44">
        <f t="shared" si="3"/>
        <v>0</v>
      </c>
      <c r="K13" s="43" t="str">
        <f>IFERROR(SUM(ContinuousAssessment!$N16:$Q16)/COUNTA(ContinuousAssessment!$N16:$Q16)*Guide!$I$4,"")</f>
        <v/>
      </c>
      <c r="L13" s="44">
        <f>Guide!$H$4*testResults!$E12</f>
        <v>0</v>
      </c>
      <c r="M13" s="44">
        <f t="shared" si="4"/>
        <v>0</v>
      </c>
      <c r="N13" s="43" t="str">
        <f>IFERROR(Guide!$I$4*(SUM(ContinuousAssessment!$R16:$U16))/COUNTA(ContinuousAssessment!R16:U16),"")</f>
        <v/>
      </c>
      <c r="O13" s="44">
        <f>Guide!$H$4*testResults!F12</f>
        <v>0</v>
      </c>
      <c r="P13" s="44">
        <f t="shared" si="5"/>
        <v>0</v>
      </c>
      <c r="Q13" s="43" t="str">
        <f>IFERROR(Guide!$I$4*(SUM(ContinuousAssessment!$V16:$Y16)/COUNTA(ContinuousAssessment!$V16:$Y16)),"")</f>
        <v/>
      </c>
      <c r="R13" s="44">
        <f>Guide!$H$4*testResults!G12</f>
        <v>0</v>
      </c>
      <c r="S13" s="44">
        <f t="shared" si="6"/>
        <v>0</v>
      </c>
      <c r="T13" s="43" t="str">
        <f>IFERROR(Guide!$I$4*(SUM(ContinuousAssessment!$Z16:$AC16))/COUNTA(ContinuousAssessment!$Z16:$AC16),"")</f>
        <v/>
      </c>
      <c r="U13" s="44">
        <f>Guide!$H$4*testResults!H12</f>
        <v>0</v>
      </c>
      <c r="V13" s="44">
        <f t="shared" si="7"/>
        <v>0</v>
      </c>
      <c r="W13" s="43" t="str">
        <f>IFERROR(((SUM(ContinuousAssessment!$AD16:$AF16))/COUNTA(ContinuousAssessment!$AD16:$AF16))*Guide!$I$4,"")</f>
        <v/>
      </c>
      <c r="X13" s="44">
        <f>Guide!$H$4*testResults!I12</f>
        <v>0</v>
      </c>
      <c r="Y13" s="44">
        <f t="shared" si="8"/>
        <v>0</v>
      </c>
      <c r="Z13" s="43" t="str">
        <f>IFERROR((SUM(ContinuousAssessment!$AH16:$AK16)/COUNTA(ContinuousAssessment!AH16:AK16))*Guide!$I$4,"")</f>
        <v/>
      </c>
      <c r="AA13" s="44">
        <f>testResults!J12*Guide!$H$4</f>
        <v>0</v>
      </c>
      <c r="AB13" s="44">
        <f t="shared" si="9"/>
        <v>0</v>
      </c>
      <c r="AC13" s="44">
        <f t="shared" si="0"/>
        <v>0</v>
      </c>
    </row>
    <row r="14" spans="1:29">
      <c r="A14" s="43">
        <f>'Students Names'!$A13</f>
        <v>0</v>
      </c>
      <c r="B14" s="43" t="str">
        <f>IFERROR(Guide!$I$4*(SUM(ContinuousAssessment!B17:E17)/COUNTA(ContinuousAssessment!B17:E17)),"")</f>
        <v/>
      </c>
      <c r="C14" s="44">
        <f>Guide!$H$4*testResults!B13</f>
        <v>0</v>
      </c>
      <c r="D14" s="44">
        <f t="shared" si="1"/>
        <v>0</v>
      </c>
      <c r="E14" s="43" t="str">
        <f>IFERROR(Guide!$I$4*(SUM(ContinuousAssessment!$F17:$I17)/COUNTA(ContinuousAssessment!$F17:$I17)),"")</f>
        <v/>
      </c>
      <c r="F14" s="44">
        <f>Guide!$H$4*testResults!C13</f>
        <v>0</v>
      </c>
      <c r="G14" s="44">
        <f t="shared" si="2"/>
        <v>0</v>
      </c>
      <c r="H14" s="43" t="str">
        <f>IFERROR(Guide!$I$4*SUM(ContinuousAssessment!$J17:$M17)/COUNTA(ContinuousAssessment!$J17:$M17),"")</f>
        <v/>
      </c>
      <c r="I14" s="44">
        <f>Guide!$H$4*testResults!D13</f>
        <v>0</v>
      </c>
      <c r="J14" s="44">
        <f t="shared" si="3"/>
        <v>0</v>
      </c>
      <c r="K14" s="43" t="str">
        <f>IFERROR(SUM(ContinuousAssessment!$N17:$Q17)/COUNTA(ContinuousAssessment!$N17:$Q17)*Guide!$I$4,"")</f>
        <v/>
      </c>
      <c r="L14" s="44">
        <f>Guide!$H$4*testResults!$E13</f>
        <v>0</v>
      </c>
      <c r="M14" s="44">
        <f t="shared" si="4"/>
        <v>0</v>
      </c>
      <c r="N14" s="43" t="str">
        <f>IFERROR(Guide!$I$4*(SUM(ContinuousAssessment!$R17:$U17))/COUNTA(ContinuousAssessment!R17:U17),"")</f>
        <v/>
      </c>
      <c r="O14" s="44">
        <f>Guide!$H$4*testResults!F13</f>
        <v>0</v>
      </c>
      <c r="P14" s="44">
        <f t="shared" si="5"/>
        <v>0</v>
      </c>
      <c r="Q14" s="43" t="str">
        <f>IFERROR(Guide!$I$4*(SUM(ContinuousAssessment!$V17:$Y17)/COUNTA(ContinuousAssessment!$V17:$Y17)),"")</f>
        <v/>
      </c>
      <c r="R14" s="44">
        <f>Guide!$H$4*testResults!G13</f>
        <v>0</v>
      </c>
      <c r="S14" s="44">
        <f t="shared" si="6"/>
        <v>0</v>
      </c>
      <c r="T14" s="43" t="str">
        <f>IFERROR(Guide!$I$4*(SUM(ContinuousAssessment!$Z17:$AC17))/COUNTA(ContinuousAssessment!$Z17:$AC17),"")</f>
        <v/>
      </c>
      <c r="U14" s="44">
        <f>Guide!$H$4*testResults!H13</f>
        <v>0</v>
      </c>
      <c r="V14" s="44">
        <f t="shared" si="7"/>
        <v>0</v>
      </c>
      <c r="W14" s="43" t="str">
        <f>IFERROR(((SUM(ContinuousAssessment!$AD17:$AF17))/COUNTA(ContinuousAssessment!$AD17:$AF17))*Guide!$I$4,"")</f>
        <v/>
      </c>
      <c r="X14" s="44">
        <f>Guide!$H$4*testResults!I13</f>
        <v>0</v>
      </c>
      <c r="Y14" s="44">
        <f t="shared" si="8"/>
        <v>0</v>
      </c>
      <c r="Z14" s="43" t="str">
        <f>IFERROR((SUM(ContinuousAssessment!$AH17:$AK17)/COUNTA(ContinuousAssessment!AH17:AK17))*Guide!$I$4,"")</f>
        <v/>
      </c>
      <c r="AA14" s="44">
        <f>testResults!J13*Guide!$H$4</f>
        <v>0</v>
      </c>
      <c r="AB14" s="44">
        <f t="shared" si="9"/>
        <v>0</v>
      </c>
      <c r="AC14" s="44">
        <f t="shared" si="0"/>
        <v>0</v>
      </c>
    </row>
    <row r="15" spans="1:29">
      <c r="A15" s="43">
        <f>'Students Names'!$A14</f>
        <v>0</v>
      </c>
      <c r="B15" s="43" t="str">
        <f>IFERROR(Guide!$I$4*(SUM(ContinuousAssessment!B18:E18)/COUNTA(ContinuousAssessment!B18:E18)),"")</f>
        <v/>
      </c>
      <c r="C15" s="44">
        <f>Guide!$H$4*testResults!B14</f>
        <v>0</v>
      </c>
      <c r="D15" s="44">
        <f t="shared" si="1"/>
        <v>0</v>
      </c>
      <c r="E15" s="43" t="str">
        <f>IFERROR(Guide!$I$4*(SUM(ContinuousAssessment!$F18:$I18)/COUNTA(ContinuousAssessment!$F18:$I18)),"")</f>
        <v/>
      </c>
      <c r="F15" s="44">
        <f>Guide!$H$4*testResults!C14</f>
        <v>0</v>
      </c>
      <c r="G15" s="44">
        <f t="shared" si="2"/>
        <v>0</v>
      </c>
      <c r="H15" s="43" t="str">
        <f>IFERROR(Guide!$I$4*SUM(ContinuousAssessment!$J18:$M18)/COUNTA(ContinuousAssessment!$J18:$M18),"")</f>
        <v/>
      </c>
      <c r="I15" s="44">
        <f>Guide!$H$4*testResults!D14</f>
        <v>0</v>
      </c>
      <c r="J15" s="44">
        <f t="shared" si="3"/>
        <v>0</v>
      </c>
      <c r="K15" s="43" t="str">
        <f>IFERROR(SUM(ContinuousAssessment!$N18:$Q18)/COUNTA(ContinuousAssessment!$N18:$Q18)*Guide!$I$4,"")</f>
        <v/>
      </c>
      <c r="L15" s="44">
        <f>Guide!$H$4*testResults!$E14</f>
        <v>0</v>
      </c>
      <c r="M15" s="44">
        <f t="shared" si="4"/>
        <v>0</v>
      </c>
      <c r="N15" s="43" t="str">
        <f>IFERROR(Guide!$I$4*(SUM(ContinuousAssessment!$R18:$U18))/COUNTA(ContinuousAssessment!R18:U18),"")</f>
        <v/>
      </c>
      <c r="O15" s="44">
        <f>Guide!$H$4*testResults!F14</f>
        <v>0</v>
      </c>
      <c r="P15" s="44">
        <f t="shared" si="5"/>
        <v>0</v>
      </c>
      <c r="Q15" s="43" t="str">
        <f>IFERROR(Guide!$I$4*(SUM(ContinuousAssessment!$V18:$Y18)/COUNTA(ContinuousAssessment!$V18:$Y18)),"")</f>
        <v/>
      </c>
      <c r="R15" s="44">
        <f>Guide!$H$4*testResults!G14</f>
        <v>0</v>
      </c>
      <c r="S15" s="44">
        <f t="shared" si="6"/>
        <v>0</v>
      </c>
      <c r="T15" s="43" t="str">
        <f>IFERROR(Guide!$I$4*(SUM(ContinuousAssessment!$Z18:$AC18))/COUNTA(ContinuousAssessment!$Z18:$AC18),"")</f>
        <v/>
      </c>
      <c r="U15" s="44">
        <f>Guide!$H$4*testResults!H14</f>
        <v>0</v>
      </c>
      <c r="V15" s="44">
        <f t="shared" si="7"/>
        <v>0</v>
      </c>
      <c r="W15" s="43" t="str">
        <f>IFERROR(((SUM(ContinuousAssessment!$AD18:$AF18))/COUNTA(ContinuousAssessment!$AD18:$AF18))*Guide!$I$4,"")</f>
        <v/>
      </c>
      <c r="X15" s="44">
        <f>Guide!$H$4*testResults!I14</f>
        <v>0</v>
      </c>
      <c r="Y15" s="44">
        <f t="shared" si="8"/>
        <v>0</v>
      </c>
      <c r="Z15" s="43" t="str">
        <f>IFERROR((SUM(ContinuousAssessment!$AH18:$AK18)/COUNTA(ContinuousAssessment!AH18:AK18))*Guide!$I$4,"")</f>
        <v/>
      </c>
      <c r="AA15" s="44">
        <f>testResults!J14*Guide!$H$4</f>
        <v>0</v>
      </c>
      <c r="AB15" s="44">
        <f t="shared" si="9"/>
        <v>0</v>
      </c>
      <c r="AC15" s="44">
        <f t="shared" si="0"/>
        <v>0</v>
      </c>
    </row>
    <row r="16" spans="1:29">
      <c r="A16" s="43">
        <f>'Students Names'!$A15</f>
        <v>0</v>
      </c>
      <c r="B16" s="43" t="str">
        <f>IFERROR(Guide!$I$4*(SUM(ContinuousAssessment!B19:E19)/COUNTA(ContinuousAssessment!B19:E19)),"")</f>
        <v/>
      </c>
      <c r="C16" s="44">
        <f>Guide!$H$4*testResults!B15</f>
        <v>0</v>
      </c>
      <c r="D16" s="44">
        <f t="shared" si="1"/>
        <v>0</v>
      </c>
      <c r="E16" s="43" t="str">
        <f>IFERROR(Guide!$I$4*(SUM(ContinuousAssessment!$F19:$I19)/COUNTA(ContinuousAssessment!$F19:$I19)),"")</f>
        <v/>
      </c>
      <c r="F16" s="44">
        <f>Guide!$H$4*testResults!C15</f>
        <v>0</v>
      </c>
      <c r="G16" s="44">
        <f t="shared" si="2"/>
        <v>0</v>
      </c>
      <c r="H16" s="43" t="str">
        <f>IFERROR(Guide!$I$4*SUM(ContinuousAssessment!$J19:$M19)/COUNTA(ContinuousAssessment!$J19:$M19),"")</f>
        <v/>
      </c>
      <c r="I16" s="44">
        <f>Guide!$H$4*testResults!D15</f>
        <v>0</v>
      </c>
      <c r="J16" s="44">
        <f t="shared" si="3"/>
        <v>0</v>
      </c>
      <c r="K16" s="43" t="str">
        <f>IFERROR(SUM(ContinuousAssessment!$N19:$Q19)/COUNTA(ContinuousAssessment!$N19:$Q19)*Guide!$I$4,"")</f>
        <v/>
      </c>
      <c r="L16" s="44">
        <f>Guide!$H$4*testResults!$E15</f>
        <v>0</v>
      </c>
      <c r="M16" s="44">
        <f t="shared" si="4"/>
        <v>0</v>
      </c>
      <c r="N16" s="43" t="str">
        <f>IFERROR(Guide!$I$4*(SUM(ContinuousAssessment!$R19:$U19))/COUNTA(ContinuousAssessment!R19:U19),"")</f>
        <v/>
      </c>
      <c r="O16" s="44">
        <f>Guide!$H$4*testResults!F15</f>
        <v>0</v>
      </c>
      <c r="P16" s="44">
        <f t="shared" si="5"/>
        <v>0</v>
      </c>
      <c r="Q16" s="43" t="str">
        <f>IFERROR(Guide!$I$4*(SUM(ContinuousAssessment!$V19:$Y19)/COUNTA(ContinuousAssessment!$V19:$Y19)),"")</f>
        <v/>
      </c>
      <c r="R16" s="44">
        <f>Guide!$H$4*testResults!G15</f>
        <v>0</v>
      </c>
      <c r="S16" s="44">
        <f t="shared" si="6"/>
        <v>0</v>
      </c>
      <c r="T16" s="43" t="str">
        <f>IFERROR(Guide!$I$4*(SUM(ContinuousAssessment!$Z19:$AC19))/COUNTA(ContinuousAssessment!$Z19:$AC19),"")</f>
        <v/>
      </c>
      <c r="U16" s="44">
        <f>Guide!$H$4*testResults!H15</f>
        <v>0</v>
      </c>
      <c r="V16" s="44">
        <f t="shared" si="7"/>
        <v>0</v>
      </c>
      <c r="W16" s="43" t="str">
        <f>IFERROR(((SUM(ContinuousAssessment!$AD19:$AF19))/COUNTA(ContinuousAssessment!$AD19:$AF19))*Guide!$I$4,"")</f>
        <v/>
      </c>
      <c r="X16" s="44">
        <f>Guide!$H$4*testResults!I15</f>
        <v>0</v>
      </c>
      <c r="Y16" s="44">
        <f t="shared" si="8"/>
        <v>0</v>
      </c>
      <c r="Z16" s="43" t="str">
        <f>IFERROR((SUM(ContinuousAssessment!$AH19:$AK19)/COUNTA(ContinuousAssessment!AH19:AK19))*Guide!$I$4,"")</f>
        <v/>
      </c>
      <c r="AA16" s="44">
        <f>testResults!J15*Guide!$H$4</f>
        <v>0</v>
      </c>
      <c r="AB16" s="44">
        <f t="shared" si="9"/>
        <v>0</v>
      </c>
      <c r="AC16" s="44">
        <f t="shared" si="0"/>
        <v>0</v>
      </c>
    </row>
    <row r="17" spans="1:29">
      <c r="A17" s="43">
        <f>'Students Names'!$A16</f>
        <v>0</v>
      </c>
      <c r="B17" s="43" t="str">
        <f>IFERROR(Guide!$I$4*(SUM(ContinuousAssessment!B20:E20)/COUNTA(ContinuousAssessment!B20:E20)),"")</f>
        <v/>
      </c>
      <c r="C17" s="44">
        <f>Guide!$H$4*testResults!B16</f>
        <v>0</v>
      </c>
      <c r="D17" s="44">
        <f t="shared" si="1"/>
        <v>0</v>
      </c>
      <c r="E17" s="43" t="str">
        <f>IFERROR(Guide!$I$4*(SUM(ContinuousAssessment!$F20:$I20)/COUNTA(ContinuousAssessment!$F20:$I20)),"")</f>
        <v/>
      </c>
      <c r="F17" s="44">
        <f>Guide!$H$4*testResults!C16</f>
        <v>0</v>
      </c>
      <c r="G17" s="44">
        <f t="shared" si="2"/>
        <v>0</v>
      </c>
      <c r="H17" s="43" t="str">
        <f>IFERROR(Guide!$I$4*SUM(ContinuousAssessment!$J20:$M20)/COUNTA(ContinuousAssessment!$J20:$M20),"")</f>
        <v/>
      </c>
      <c r="I17" s="44">
        <f>Guide!$H$4*testResults!D16</f>
        <v>0</v>
      </c>
      <c r="J17" s="44">
        <f t="shared" si="3"/>
        <v>0</v>
      </c>
      <c r="K17" s="43" t="str">
        <f>IFERROR(SUM(ContinuousAssessment!$N20:$Q20)/COUNTA(ContinuousAssessment!$N20:$Q20)*Guide!$I$4,"")</f>
        <v/>
      </c>
      <c r="L17" s="44">
        <f>Guide!$H$4*testResults!$E16</f>
        <v>0</v>
      </c>
      <c r="M17" s="44">
        <f t="shared" si="4"/>
        <v>0</v>
      </c>
      <c r="N17" s="43" t="str">
        <f>IFERROR(Guide!$I$4*(SUM(ContinuousAssessment!$R20:$U20))/COUNTA(ContinuousAssessment!R20:U20),"")</f>
        <v/>
      </c>
      <c r="O17" s="44">
        <f>Guide!$H$4*testResults!F16</f>
        <v>0</v>
      </c>
      <c r="P17" s="44">
        <f t="shared" si="5"/>
        <v>0</v>
      </c>
      <c r="Q17" s="43" t="str">
        <f>IFERROR(Guide!$I$4*(SUM(ContinuousAssessment!$V20:$Y20)/COUNTA(ContinuousAssessment!$V20:$Y20)),"")</f>
        <v/>
      </c>
      <c r="R17" s="44">
        <f>Guide!$H$4*testResults!G16</f>
        <v>0</v>
      </c>
      <c r="S17" s="44">
        <f t="shared" si="6"/>
        <v>0</v>
      </c>
      <c r="T17" s="43" t="str">
        <f>IFERROR(Guide!$I$4*(SUM(ContinuousAssessment!$Z20:$AC20))/COUNTA(ContinuousAssessment!$Z20:$AC20),"")</f>
        <v/>
      </c>
      <c r="U17" s="44">
        <f>Guide!$H$4*testResults!H16</f>
        <v>0</v>
      </c>
      <c r="V17" s="44">
        <f t="shared" si="7"/>
        <v>0</v>
      </c>
      <c r="W17" s="43" t="str">
        <f>IFERROR(((SUM(ContinuousAssessment!$AD20:$AF20))/COUNTA(ContinuousAssessment!$AD20:$AF20))*Guide!$I$4,"")</f>
        <v/>
      </c>
      <c r="X17" s="44">
        <f>Guide!$H$4*testResults!I16</f>
        <v>0</v>
      </c>
      <c r="Y17" s="44">
        <f t="shared" si="8"/>
        <v>0</v>
      </c>
      <c r="Z17" s="43" t="str">
        <f>IFERROR((SUM(ContinuousAssessment!$AH20:$AK20)/COUNTA(ContinuousAssessment!AH20:AK20))*Guide!$I$4,"")</f>
        <v/>
      </c>
      <c r="AA17" s="44">
        <f>testResults!J16*Guide!$H$4</f>
        <v>0</v>
      </c>
      <c r="AB17" s="44">
        <f t="shared" si="9"/>
        <v>0</v>
      </c>
      <c r="AC17" s="44">
        <f t="shared" si="0"/>
        <v>0</v>
      </c>
    </row>
    <row r="18" spans="1:29">
      <c r="A18" s="43">
        <f>'Students Names'!$A17</f>
        <v>0</v>
      </c>
      <c r="B18" s="43" t="str">
        <f>IFERROR(Guide!$I$4*(SUM(ContinuousAssessment!B21:E21)/COUNTA(ContinuousAssessment!B21:E21)),"")</f>
        <v/>
      </c>
      <c r="C18" s="44">
        <f>Guide!$H$4*testResults!B17</f>
        <v>0</v>
      </c>
      <c r="D18" s="44">
        <f t="shared" si="1"/>
        <v>0</v>
      </c>
      <c r="E18" s="43" t="str">
        <f>IFERROR(Guide!$I$4*(SUM(ContinuousAssessment!$F21:$I21)/COUNTA(ContinuousAssessment!$F21:$I21)),"")</f>
        <v/>
      </c>
      <c r="F18" s="44">
        <f>Guide!$H$4*testResults!C17</f>
        <v>0</v>
      </c>
      <c r="G18" s="44">
        <f t="shared" si="2"/>
        <v>0</v>
      </c>
      <c r="H18" s="43" t="str">
        <f>IFERROR(Guide!$I$4*SUM(ContinuousAssessment!$J21:$M21)/COUNTA(ContinuousAssessment!$J21:$M21),"")</f>
        <v/>
      </c>
      <c r="I18" s="44">
        <f>Guide!$H$4*testResults!D17</f>
        <v>0</v>
      </c>
      <c r="J18" s="44">
        <f t="shared" si="3"/>
        <v>0</v>
      </c>
      <c r="K18" s="43" t="str">
        <f>IFERROR(SUM(ContinuousAssessment!$N21:$Q21)/COUNTA(ContinuousAssessment!$N21:$Q21)*Guide!$I$4,"")</f>
        <v/>
      </c>
      <c r="L18" s="44">
        <f>Guide!$H$4*testResults!$E17</f>
        <v>0</v>
      </c>
      <c r="M18" s="44">
        <f t="shared" si="4"/>
        <v>0</v>
      </c>
      <c r="N18" s="43" t="str">
        <f>IFERROR(Guide!$I$4*(SUM(ContinuousAssessment!$R21:$U21))/COUNTA(ContinuousAssessment!R21:U21),"")</f>
        <v/>
      </c>
      <c r="O18" s="44">
        <f>Guide!$H$4*testResults!F17</f>
        <v>0</v>
      </c>
      <c r="P18" s="44">
        <f t="shared" si="5"/>
        <v>0</v>
      </c>
      <c r="Q18" s="43" t="str">
        <f>IFERROR(Guide!$I$4*(SUM(ContinuousAssessment!$V21:$Y21)/COUNTA(ContinuousAssessment!$V21:$Y21)),"")</f>
        <v/>
      </c>
      <c r="R18" s="44">
        <f>Guide!$H$4*testResults!G17</f>
        <v>0</v>
      </c>
      <c r="S18" s="44">
        <f t="shared" si="6"/>
        <v>0</v>
      </c>
      <c r="T18" s="43" t="str">
        <f>IFERROR(Guide!$I$4*(SUM(ContinuousAssessment!$Z21:$AC21))/COUNTA(ContinuousAssessment!$Z21:$AC21),"")</f>
        <v/>
      </c>
      <c r="U18" s="44">
        <f>Guide!$H$4*testResults!H17</f>
        <v>0</v>
      </c>
      <c r="V18" s="44">
        <f t="shared" si="7"/>
        <v>0</v>
      </c>
      <c r="W18" s="43" t="str">
        <f>IFERROR(((SUM(ContinuousAssessment!$AD21:$AF21))/COUNTA(ContinuousAssessment!$AD21:$AF21))*Guide!$I$4,"")</f>
        <v/>
      </c>
      <c r="X18" s="44">
        <f>Guide!$H$4*testResults!I17</f>
        <v>0</v>
      </c>
      <c r="Y18" s="44">
        <f t="shared" si="8"/>
        <v>0</v>
      </c>
      <c r="Z18" s="43" t="str">
        <f>IFERROR((SUM(ContinuousAssessment!$AH21:$AK21)/COUNTA(ContinuousAssessment!AH21:AK21))*Guide!$I$4,"")</f>
        <v/>
      </c>
      <c r="AA18" s="44">
        <f>testResults!J17*Guide!$H$4</f>
        <v>0</v>
      </c>
      <c r="AB18" s="44">
        <f t="shared" si="9"/>
        <v>0</v>
      </c>
      <c r="AC18" s="44">
        <f t="shared" si="0"/>
        <v>0</v>
      </c>
    </row>
    <row r="19" spans="1:29">
      <c r="A19" s="43">
        <f>'Students Names'!$A18</f>
        <v>0</v>
      </c>
      <c r="B19" s="43" t="str">
        <f>IFERROR(Guide!$I$4*(SUM(ContinuousAssessment!B22:E22)/COUNTA(ContinuousAssessment!B22:E22)),"")</f>
        <v/>
      </c>
      <c r="C19" s="44">
        <f>Guide!$H$4*testResults!B18</f>
        <v>0</v>
      </c>
      <c r="D19" s="44">
        <f t="shared" si="1"/>
        <v>0</v>
      </c>
      <c r="E19" s="43" t="str">
        <f>IFERROR(Guide!$I$4*(SUM(ContinuousAssessment!$F22:$I22)/COUNTA(ContinuousAssessment!$F22:$I22)),"")</f>
        <v/>
      </c>
      <c r="F19" s="44">
        <f>Guide!$H$4*testResults!C18</f>
        <v>0</v>
      </c>
      <c r="G19" s="44">
        <f t="shared" si="2"/>
        <v>0</v>
      </c>
      <c r="H19" s="43" t="str">
        <f>IFERROR(Guide!$I$4*SUM(ContinuousAssessment!$J22:$M22)/COUNTA(ContinuousAssessment!$J22:$M22),"")</f>
        <v/>
      </c>
      <c r="I19" s="44">
        <f>Guide!$H$4*testResults!D18</f>
        <v>0</v>
      </c>
      <c r="J19" s="44">
        <f t="shared" si="3"/>
        <v>0</v>
      </c>
      <c r="K19" s="43" t="str">
        <f>IFERROR(SUM(ContinuousAssessment!$N22:$Q22)/COUNTA(ContinuousAssessment!$N22:$Q22)*Guide!$I$4,"")</f>
        <v/>
      </c>
      <c r="L19" s="44">
        <f>Guide!$H$4*testResults!$E18</f>
        <v>0</v>
      </c>
      <c r="M19" s="44">
        <f t="shared" si="4"/>
        <v>0</v>
      </c>
      <c r="N19" s="43" t="str">
        <f>IFERROR(Guide!$I$4*(SUM(ContinuousAssessment!$R22:$U22))/COUNTA(ContinuousAssessment!R22:U22),"")</f>
        <v/>
      </c>
      <c r="O19" s="44">
        <f>Guide!$H$4*testResults!F18</f>
        <v>0</v>
      </c>
      <c r="P19" s="44">
        <f t="shared" si="5"/>
        <v>0</v>
      </c>
      <c r="Q19" s="43" t="str">
        <f>IFERROR(Guide!$I$4*(SUM(ContinuousAssessment!$V22:$Y22)/COUNTA(ContinuousAssessment!$V22:$Y22)),"")</f>
        <v/>
      </c>
      <c r="R19" s="44">
        <f>Guide!$H$4*testResults!G18</f>
        <v>0</v>
      </c>
      <c r="S19" s="44">
        <f t="shared" si="6"/>
        <v>0</v>
      </c>
      <c r="T19" s="43" t="str">
        <f>IFERROR(Guide!$I$4*(SUM(ContinuousAssessment!$Z22:$AC22))/COUNTA(ContinuousAssessment!$Z22:$AC22),"")</f>
        <v/>
      </c>
      <c r="U19" s="44">
        <f>Guide!$H$4*testResults!H18</f>
        <v>0</v>
      </c>
      <c r="V19" s="44">
        <f t="shared" si="7"/>
        <v>0</v>
      </c>
      <c r="W19" s="43" t="str">
        <f>IFERROR(((SUM(ContinuousAssessment!$AD22:$AF22))/COUNTA(ContinuousAssessment!$AD22:$AF22))*Guide!$I$4,"")</f>
        <v/>
      </c>
      <c r="X19" s="44">
        <f>Guide!$H$4*testResults!I18</f>
        <v>0</v>
      </c>
      <c r="Y19" s="44">
        <f t="shared" si="8"/>
        <v>0</v>
      </c>
      <c r="Z19" s="43" t="str">
        <f>IFERROR((SUM(ContinuousAssessment!$AH22:$AK22)/COUNTA(ContinuousAssessment!AH22:AK22))*Guide!$I$4,"")</f>
        <v/>
      </c>
      <c r="AA19" s="44">
        <f>testResults!J18*Guide!$H$4</f>
        <v>0</v>
      </c>
      <c r="AB19" s="44">
        <f t="shared" si="9"/>
        <v>0</v>
      </c>
      <c r="AC19" s="44">
        <f t="shared" si="0"/>
        <v>0</v>
      </c>
    </row>
    <row r="20" spans="1:29">
      <c r="A20" s="43">
        <f>'Students Names'!$A19</f>
        <v>0</v>
      </c>
      <c r="B20" s="43" t="str">
        <f>IFERROR(Guide!$I$4*(SUM(ContinuousAssessment!B23:E23)/COUNTA(ContinuousAssessment!B23:E23)),"")</f>
        <v/>
      </c>
      <c r="C20" s="44">
        <f>Guide!$H$4*testResults!B19</f>
        <v>0</v>
      </c>
      <c r="D20" s="44">
        <f t="shared" si="1"/>
        <v>0</v>
      </c>
      <c r="E20" s="43" t="str">
        <f>IFERROR(Guide!$I$4*(SUM(ContinuousAssessment!$F23:$I23)/COUNTA(ContinuousAssessment!$F23:$I23)),"")</f>
        <v/>
      </c>
      <c r="F20" s="44">
        <f>Guide!$H$4*testResults!C19</f>
        <v>0</v>
      </c>
      <c r="G20" s="44">
        <f t="shared" si="2"/>
        <v>0</v>
      </c>
      <c r="H20" s="43" t="str">
        <f>IFERROR(Guide!$I$4*SUM(ContinuousAssessment!$J23:$M23)/COUNTA(ContinuousAssessment!$J23:$M23),"")</f>
        <v/>
      </c>
      <c r="I20" s="44">
        <f>Guide!$H$4*testResults!D19</f>
        <v>0</v>
      </c>
      <c r="J20" s="44">
        <f t="shared" si="3"/>
        <v>0</v>
      </c>
      <c r="K20" s="43" t="str">
        <f>IFERROR(SUM(ContinuousAssessment!$N23:$Q23)/COUNTA(ContinuousAssessment!$N23:$Q23)*Guide!$I$4,"")</f>
        <v/>
      </c>
      <c r="L20" s="44">
        <f>Guide!$H$4*testResults!$E19</f>
        <v>0</v>
      </c>
      <c r="M20" s="44">
        <f t="shared" si="4"/>
        <v>0</v>
      </c>
      <c r="N20" s="43" t="str">
        <f>IFERROR(Guide!$I$4*(SUM(ContinuousAssessment!$R23:$U23))/COUNTA(ContinuousAssessment!R23:U23),"")</f>
        <v/>
      </c>
      <c r="O20" s="44">
        <f>Guide!$H$4*testResults!F19</f>
        <v>0</v>
      </c>
      <c r="P20" s="44">
        <f t="shared" si="5"/>
        <v>0</v>
      </c>
      <c r="Q20" s="43" t="str">
        <f>IFERROR(Guide!$I$4*(SUM(ContinuousAssessment!$V23:$Y23)/COUNTA(ContinuousAssessment!$V23:$Y23)),"")</f>
        <v/>
      </c>
      <c r="R20" s="44">
        <f>Guide!$H$4*testResults!G19</f>
        <v>0</v>
      </c>
      <c r="S20" s="44">
        <f t="shared" si="6"/>
        <v>0</v>
      </c>
      <c r="T20" s="43" t="str">
        <f>IFERROR(Guide!$I$4*(SUM(ContinuousAssessment!$Z23:$AC23))/COUNTA(ContinuousAssessment!$Z23:$AC23),"")</f>
        <v/>
      </c>
      <c r="U20" s="44">
        <f>Guide!$H$4*testResults!H19</f>
        <v>0</v>
      </c>
      <c r="V20" s="44">
        <f t="shared" si="7"/>
        <v>0</v>
      </c>
      <c r="W20" s="43" t="str">
        <f>IFERROR(((SUM(ContinuousAssessment!$AD23:$AF23))/COUNTA(ContinuousAssessment!$AD23:$AF23))*Guide!$I$4,"")</f>
        <v/>
      </c>
      <c r="X20" s="44">
        <f>Guide!$H$4*testResults!I19</f>
        <v>0</v>
      </c>
      <c r="Y20" s="44">
        <f t="shared" si="8"/>
        <v>0</v>
      </c>
      <c r="Z20" s="43" t="str">
        <f>IFERROR((SUM(ContinuousAssessment!$AH23:$AK23)/COUNTA(ContinuousAssessment!AH23:AK23))*Guide!$I$4,"")</f>
        <v/>
      </c>
      <c r="AA20" s="44">
        <f>testResults!J19*Guide!$H$4</f>
        <v>0</v>
      </c>
      <c r="AB20" s="44">
        <f t="shared" si="9"/>
        <v>0</v>
      </c>
      <c r="AC20" s="44">
        <f t="shared" si="0"/>
        <v>0</v>
      </c>
    </row>
    <row r="21" spans="1:29">
      <c r="A21" s="43">
        <f>'Students Names'!$A20</f>
        <v>0</v>
      </c>
      <c r="B21" s="43" t="str">
        <f>IFERROR(Guide!$I$4*(SUM(ContinuousAssessment!B24:E24)/COUNTA(ContinuousAssessment!B24:E24)),"")</f>
        <v/>
      </c>
      <c r="C21" s="44">
        <f>Guide!$H$4*testResults!B20</f>
        <v>0</v>
      </c>
      <c r="D21" s="44">
        <f t="shared" si="1"/>
        <v>0</v>
      </c>
      <c r="E21" s="43" t="str">
        <f>IFERROR(Guide!$I$4*(SUM(ContinuousAssessment!$F24:$I24)/COUNTA(ContinuousAssessment!$F24:$I24)),"")</f>
        <v/>
      </c>
      <c r="F21" s="44">
        <f>Guide!$H$4*testResults!C20</f>
        <v>0</v>
      </c>
      <c r="G21" s="44">
        <f t="shared" si="2"/>
        <v>0</v>
      </c>
      <c r="H21" s="43" t="str">
        <f>IFERROR(Guide!$I$4*SUM(ContinuousAssessment!$J24:$M24)/COUNTA(ContinuousAssessment!$J24:$M24),"")</f>
        <v/>
      </c>
      <c r="I21" s="44">
        <f>Guide!$H$4*testResults!D20</f>
        <v>0</v>
      </c>
      <c r="J21" s="44">
        <f t="shared" si="3"/>
        <v>0</v>
      </c>
      <c r="K21" s="43" t="str">
        <f>IFERROR(SUM(ContinuousAssessment!$N24:$Q24)/COUNTA(ContinuousAssessment!$N24:$Q24)*Guide!$I$4,"")</f>
        <v/>
      </c>
      <c r="L21" s="44">
        <f>Guide!$H$4*testResults!$E20</f>
        <v>0</v>
      </c>
      <c r="M21" s="44">
        <f t="shared" si="4"/>
        <v>0</v>
      </c>
      <c r="N21" s="43" t="str">
        <f>IFERROR(Guide!$I$4*(SUM(ContinuousAssessment!$R24:$U24))/COUNTA(ContinuousAssessment!R24:U24),"")</f>
        <v/>
      </c>
      <c r="O21" s="44">
        <f>Guide!$H$4*testResults!F20</f>
        <v>0</v>
      </c>
      <c r="P21" s="44">
        <f t="shared" si="5"/>
        <v>0</v>
      </c>
      <c r="Q21" s="43" t="str">
        <f>IFERROR(Guide!$I$4*(SUM(ContinuousAssessment!$V24:$Y24)/COUNTA(ContinuousAssessment!$V24:$Y24)),"")</f>
        <v/>
      </c>
      <c r="R21" s="44">
        <f>Guide!$H$4*testResults!G20</f>
        <v>0</v>
      </c>
      <c r="S21" s="44">
        <f t="shared" si="6"/>
        <v>0</v>
      </c>
      <c r="T21" s="43" t="str">
        <f>IFERROR(Guide!$I$4*(SUM(ContinuousAssessment!$Z24:$AC24))/COUNTA(ContinuousAssessment!$Z24:$AC24),"")</f>
        <v/>
      </c>
      <c r="U21" s="44">
        <f>Guide!$H$4*testResults!H20</f>
        <v>0</v>
      </c>
      <c r="V21" s="44">
        <f t="shared" si="7"/>
        <v>0</v>
      </c>
      <c r="W21" s="43" t="str">
        <f>IFERROR(((SUM(ContinuousAssessment!$AD24:$AF24))/COUNTA(ContinuousAssessment!$AD24:$AF24))*Guide!$I$4,"")</f>
        <v/>
      </c>
      <c r="X21" s="44">
        <f>Guide!$H$4*testResults!I20</f>
        <v>0</v>
      </c>
      <c r="Y21" s="44">
        <f t="shared" si="8"/>
        <v>0</v>
      </c>
      <c r="Z21" s="43" t="str">
        <f>IFERROR((SUM(ContinuousAssessment!$AH24:$AK24)/COUNTA(ContinuousAssessment!AH24:AK24))*Guide!$I$4,"")</f>
        <v/>
      </c>
      <c r="AA21" s="44">
        <f>testResults!J20*Guide!$H$4</f>
        <v>0</v>
      </c>
      <c r="AB21" s="44">
        <f t="shared" si="9"/>
        <v>0</v>
      </c>
      <c r="AC21" s="44">
        <f t="shared" si="0"/>
        <v>0</v>
      </c>
    </row>
    <row r="22" spans="1:29">
      <c r="A22" s="43">
        <f>'Students Names'!$A21</f>
        <v>0</v>
      </c>
      <c r="B22" s="43" t="str">
        <f>IFERROR(Guide!$I$4*(SUM(ContinuousAssessment!B25:E25)/COUNTA(ContinuousAssessment!B25:E25)),"")</f>
        <v/>
      </c>
      <c r="C22" s="44">
        <f>Guide!$H$4*testResults!B21</f>
        <v>0</v>
      </c>
      <c r="D22" s="44">
        <f t="shared" si="1"/>
        <v>0</v>
      </c>
      <c r="E22" s="43" t="str">
        <f>IFERROR(Guide!$I$4*(SUM(ContinuousAssessment!$F25:$I25)/COUNTA(ContinuousAssessment!$F25:$I25)),"")</f>
        <v/>
      </c>
      <c r="F22" s="44">
        <f>Guide!$H$4*testResults!C21</f>
        <v>0</v>
      </c>
      <c r="G22" s="44">
        <f t="shared" si="2"/>
        <v>0</v>
      </c>
      <c r="H22" s="43" t="str">
        <f>IFERROR(Guide!$I$4*SUM(ContinuousAssessment!$J25:$M25)/COUNTA(ContinuousAssessment!$J25:$M25),"")</f>
        <v/>
      </c>
      <c r="I22" s="44">
        <f>Guide!$H$4*testResults!D21</f>
        <v>0</v>
      </c>
      <c r="J22" s="44">
        <f t="shared" si="3"/>
        <v>0</v>
      </c>
      <c r="K22" s="43" t="str">
        <f>IFERROR(SUM(ContinuousAssessment!$N25:$Q25)/COUNTA(ContinuousAssessment!$N25:$Q25)*Guide!$I$4,"")</f>
        <v/>
      </c>
      <c r="L22" s="44">
        <f>Guide!$H$4*testResults!$E21</f>
        <v>0</v>
      </c>
      <c r="M22" s="44">
        <f t="shared" si="4"/>
        <v>0</v>
      </c>
      <c r="N22" s="43" t="str">
        <f>IFERROR(Guide!$I$4*(SUM(ContinuousAssessment!$R25:$U25))/COUNTA(ContinuousAssessment!R25:U25),"")</f>
        <v/>
      </c>
      <c r="O22" s="44">
        <f>Guide!$H$4*testResults!F21</f>
        <v>0</v>
      </c>
      <c r="P22" s="44">
        <f t="shared" si="5"/>
        <v>0</v>
      </c>
      <c r="Q22" s="43" t="str">
        <f>IFERROR(Guide!$I$4*(SUM(ContinuousAssessment!$V25:$Y25)/COUNTA(ContinuousAssessment!$V25:$Y25)),"")</f>
        <v/>
      </c>
      <c r="R22" s="44">
        <f>Guide!$H$4*testResults!G21</f>
        <v>0</v>
      </c>
      <c r="S22" s="44">
        <f t="shared" si="6"/>
        <v>0</v>
      </c>
      <c r="T22" s="43" t="str">
        <f>IFERROR(Guide!$I$4*(SUM(ContinuousAssessment!$Z25:$AC25))/COUNTA(ContinuousAssessment!$Z25:$AC25),"")</f>
        <v/>
      </c>
      <c r="U22" s="44">
        <f>Guide!$H$4*testResults!H21</f>
        <v>0</v>
      </c>
      <c r="V22" s="44">
        <f t="shared" si="7"/>
        <v>0</v>
      </c>
      <c r="W22" s="43" t="str">
        <f>IFERROR(((SUM(ContinuousAssessment!$AD25:$AF25))/COUNTA(ContinuousAssessment!$AD25:$AF25))*Guide!$I$4,"")</f>
        <v/>
      </c>
      <c r="X22" s="44">
        <f>Guide!$H$4*testResults!I21</f>
        <v>0</v>
      </c>
      <c r="Y22" s="44">
        <f t="shared" si="8"/>
        <v>0</v>
      </c>
      <c r="Z22" s="43" t="str">
        <f>IFERROR((SUM(ContinuousAssessment!$AH25:$AK25)/COUNTA(ContinuousAssessment!AH25:AK25))*Guide!$I$4,"")</f>
        <v/>
      </c>
      <c r="AA22" s="44">
        <f>testResults!J21*Guide!$H$4</f>
        <v>0</v>
      </c>
      <c r="AB22" s="44">
        <f t="shared" si="9"/>
        <v>0</v>
      </c>
      <c r="AC22" s="44">
        <f t="shared" si="0"/>
        <v>0</v>
      </c>
    </row>
    <row r="23" spans="1:29">
      <c r="A23" s="43">
        <f>'Students Names'!$A22</f>
        <v>0</v>
      </c>
      <c r="B23" s="43" t="str">
        <f>IFERROR(Guide!$I$4*(SUM(ContinuousAssessment!B26:E26)/COUNTA(ContinuousAssessment!B26:E26)),"")</f>
        <v/>
      </c>
      <c r="C23" s="44">
        <f>Guide!$H$4*testResults!B22</f>
        <v>0</v>
      </c>
      <c r="D23" s="44">
        <f t="shared" si="1"/>
        <v>0</v>
      </c>
      <c r="E23" s="43" t="str">
        <f>IFERROR(Guide!$I$4*(SUM(ContinuousAssessment!$F26:$I26)/COUNTA(ContinuousAssessment!$F26:$I26)),"")</f>
        <v/>
      </c>
      <c r="F23" s="44">
        <f>Guide!$H$4*testResults!C22</f>
        <v>0</v>
      </c>
      <c r="G23" s="44">
        <f t="shared" si="2"/>
        <v>0</v>
      </c>
      <c r="H23" s="43" t="str">
        <f>IFERROR(Guide!$I$4*SUM(ContinuousAssessment!$J26:$M26)/COUNTA(ContinuousAssessment!$J26:$M26),"")</f>
        <v/>
      </c>
      <c r="I23" s="44">
        <f>Guide!$H$4*testResults!D22</f>
        <v>0</v>
      </c>
      <c r="J23" s="44">
        <f t="shared" si="3"/>
        <v>0</v>
      </c>
      <c r="K23" s="43" t="str">
        <f>IFERROR(SUM(ContinuousAssessment!$N26:$Q26)/COUNTA(ContinuousAssessment!$N26:$Q26)*Guide!$I$4,"")</f>
        <v/>
      </c>
      <c r="L23" s="44">
        <f>Guide!$H$4*testResults!$E22</f>
        <v>0</v>
      </c>
      <c r="M23" s="44">
        <f t="shared" si="4"/>
        <v>0</v>
      </c>
      <c r="N23" s="43" t="str">
        <f>IFERROR(Guide!$I$4*(SUM(ContinuousAssessment!$R26:$U26))/COUNTA(ContinuousAssessment!R26:U26),"")</f>
        <v/>
      </c>
      <c r="O23" s="44">
        <f>Guide!$H$4*testResults!F22</f>
        <v>0</v>
      </c>
      <c r="P23" s="44">
        <f t="shared" si="5"/>
        <v>0</v>
      </c>
      <c r="Q23" s="43" t="str">
        <f>IFERROR(Guide!$I$4*(SUM(ContinuousAssessment!$V26:$Y26)/COUNTA(ContinuousAssessment!$V26:$Y26)),"")</f>
        <v/>
      </c>
      <c r="R23" s="44">
        <f>Guide!$H$4*testResults!G22</f>
        <v>0</v>
      </c>
      <c r="S23" s="44">
        <f t="shared" si="6"/>
        <v>0</v>
      </c>
      <c r="T23" s="43" t="str">
        <f>IFERROR(Guide!$I$4*(SUM(ContinuousAssessment!$Z26:$AC26))/COUNTA(ContinuousAssessment!$Z26:$AC26),"")</f>
        <v/>
      </c>
      <c r="U23" s="44">
        <f>Guide!$H$4*testResults!H22</f>
        <v>0</v>
      </c>
      <c r="V23" s="44">
        <f t="shared" si="7"/>
        <v>0</v>
      </c>
      <c r="W23" s="43" t="str">
        <f>IFERROR(((SUM(ContinuousAssessment!$AD26:$AF26))/COUNTA(ContinuousAssessment!$AD26:$AF26))*Guide!$I$4,"")</f>
        <v/>
      </c>
      <c r="X23" s="44">
        <f>Guide!$H$4*testResults!I22</f>
        <v>0</v>
      </c>
      <c r="Y23" s="44">
        <f t="shared" si="8"/>
        <v>0</v>
      </c>
      <c r="Z23" s="43" t="str">
        <f>IFERROR((SUM(ContinuousAssessment!$AH26:$AK26)/COUNTA(ContinuousAssessment!AH26:AK26))*Guide!$I$4,"")</f>
        <v/>
      </c>
      <c r="AA23" s="44">
        <f>testResults!J22*Guide!$H$4</f>
        <v>0</v>
      </c>
      <c r="AB23" s="44">
        <f t="shared" si="9"/>
        <v>0</v>
      </c>
      <c r="AC23" s="44">
        <f t="shared" si="0"/>
        <v>0</v>
      </c>
    </row>
    <row r="24" spans="1:29">
      <c r="A24" s="43">
        <f>'Students Names'!$A23</f>
        <v>0</v>
      </c>
      <c r="B24" s="43" t="str">
        <f>IFERROR(Guide!$I$4*(SUM(ContinuousAssessment!B27:E27)/COUNTA(ContinuousAssessment!B27:E27)),"")</f>
        <v/>
      </c>
      <c r="C24" s="44">
        <f>Guide!$H$4*testResults!B23</f>
        <v>0</v>
      </c>
      <c r="D24" s="44">
        <f t="shared" si="1"/>
        <v>0</v>
      </c>
      <c r="E24" s="43" t="str">
        <f>IFERROR(Guide!$I$4*(SUM(ContinuousAssessment!$F27:$I27)/COUNTA(ContinuousAssessment!$F27:$I27)),"")</f>
        <v/>
      </c>
      <c r="F24" s="44">
        <f>Guide!$H$4*testResults!C23</f>
        <v>0</v>
      </c>
      <c r="G24" s="44">
        <f t="shared" si="2"/>
        <v>0</v>
      </c>
      <c r="H24" s="43" t="str">
        <f>IFERROR(Guide!$I$4*SUM(ContinuousAssessment!$J27:$M27)/COUNTA(ContinuousAssessment!$J27:$M27),"")</f>
        <v/>
      </c>
      <c r="I24" s="44">
        <f>Guide!$H$4*testResults!D23</f>
        <v>0</v>
      </c>
      <c r="J24" s="44">
        <f t="shared" si="3"/>
        <v>0</v>
      </c>
      <c r="K24" s="43" t="str">
        <f>IFERROR(SUM(ContinuousAssessment!$N27:$Q27)/COUNTA(ContinuousAssessment!$N27:$Q27)*Guide!$I$4,"")</f>
        <v/>
      </c>
      <c r="L24" s="44">
        <f>Guide!$H$4*testResults!$E23</f>
        <v>0</v>
      </c>
      <c r="M24" s="44">
        <f t="shared" si="4"/>
        <v>0</v>
      </c>
      <c r="N24" s="43" t="str">
        <f>IFERROR(Guide!$I$4*(SUM(ContinuousAssessment!$R27:$U27))/COUNTA(ContinuousAssessment!R27:U27),"")</f>
        <v/>
      </c>
      <c r="O24" s="44">
        <f>Guide!$H$4*testResults!F23</f>
        <v>0</v>
      </c>
      <c r="P24" s="44">
        <f t="shared" si="5"/>
        <v>0</v>
      </c>
      <c r="Q24" s="43" t="str">
        <f>IFERROR(Guide!$I$4*(SUM(ContinuousAssessment!$V27:$Y27)/COUNTA(ContinuousAssessment!$V27:$Y27)),"")</f>
        <v/>
      </c>
      <c r="R24" s="44">
        <f>Guide!$H$4*testResults!G23</f>
        <v>0</v>
      </c>
      <c r="S24" s="44">
        <f t="shared" si="6"/>
        <v>0</v>
      </c>
      <c r="T24" s="43" t="str">
        <f>IFERROR(Guide!$I$4*(SUM(ContinuousAssessment!$Z27:$AC27))/COUNTA(ContinuousAssessment!$Z27:$AC27),"")</f>
        <v/>
      </c>
      <c r="U24" s="44">
        <f>Guide!$H$4*testResults!H23</f>
        <v>0</v>
      </c>
      <c r="V24" s="44">
        <f t="shared" si="7"/>
        <v>0</v>
      </c>
      <c r="W24" s="43" t="str">
        <f>IFERROR(((SUM(ContinuousAssessment!$AD27:$AF27))/COUNTA(ContinuousAssessment!$AD27:$AF27))*Guide!$I$4,"")</f>
        <v/>
      </c>
      <c r="X24" s="44">
        <f>Guide!$H$4*testResults!I23</f>
        <v>0</v>
      </c>
      <c r="Y24" s="44">
        <f t="shared" si="8"/>
        <v>0</v>
      </c>
      <c r="Z24" s="43" t="str">
        <f>IFERROR((SUM(ContinuousAssessment!$AH27:$AK27)/COUNTA(ContinuousAssessment!AH27:AK27))*Guide!$I$4,"")</f>
        <v/>
      </c>
      <c r="AA24" s="44">
        <f>testResults!J23*Guide!$H$4</f>
        <v>0</v>
      </c>
      <c r="AB24" s="44">
        <f t="shared" si="9"/>
        <v>0</v>
      </c>
      <c r="AC24" s="44">
        <f t="shared" si="0"/>
        <v>0</v>
      </c>
    </row>
    <row r="25" spans="1:29">
      <c r="A25" s="43">
        <f>'Students Names'!$A24</f>
        <v>0</v>
      </c>
      <c r="B25" s="43" t="str">
        <f>IFERROR(Guide!$I$4*(SUM(ContinuousAssessment!B28:E28)/COUNTA(ContinuousAssessment!B28:E28)),"")</f>
        <v/>
      </c>
      <c r="C25" s="44">
        <f>Guide!$H$4*testResults!B24</f>
        <v>0</v>
      </c>
      <c r="D25" s="44">
        <f t="shared" si="1"/>
        <v>0</v>
      </c>
      <c r="E25" s="43" t="str">
        <f>IFERROR(Guide!$I$4*(SUM(ContinuousAssessment!$F28:$I28)/COUNTA(ContinuousAssessment!$F28:$I28)),"")</f>
        <v/>
      </c>
      <c r="F25" s="44">
        <f>Guide!$H$4*testResults!C24</f>
        <v>0</v>
      </c>
      <c r="G25" s="44">
        <f t="shared" si="2"/>
        <v>0</v>
      </c>
      <c r="H25" s="43" t="str">
        <f>IFERROR(Guide!$I$4*SUM(ContinuousAssessment!$J28:$M28)/COUNTA(ContinuousAssessment!$J28:$M28),"")</f>
        <v/>
      </c>
      <c r="I25" s="44">
        <f>Guide!$H$4*testResults!D24</f>
        <v>0</v>
      </c>
      <c r="J25" s="44">
        <f t="shared" si="3"/>
        <v>0</v>
      </c>
      <c r="K25" s="43" t="str">
        <f>IFERROR(SUM(ContinuousAssessment!$N28:$Q28)/COUNTA(ContinuousAssessment!$N28:$Q28)*Guide!$I$4,"")</f>
        <v/>
      </c>
      <c r="L25" s="44">
        <f>Guide!$H$4*testResults!$E24</f>
        <v>0</v>
      </c>
      <c r="M25" s="44">
        <f t="shared" si="4"/>
        <v>0</v>
      </c>
      <c r="N25" s="43" t="str">
        <f>IFERROR(Guide!$I$4*(SUM(ContinuousAssessment!$R28:$U28))/COUNTA(ContinuousAssessment!R28:U28),"")</f>
        <v/>
      </c>
      <c r="O25" s="44">
        <f>Guide!$H$4*testResults!F24</f>
        <v>0</v>
      </c>
      <c r="P25" s="44">
        <f t="shared" si="5"/>
        <v>0</v>
      </c>
      <c r="Q25" s="43" t="str">
        <f>IFERROR(Guide!$I$4*(SUM(ContinuousAssessment!$V28:$Y28)/COUNTA(ContinuousAssessment!$V28:$Y28)),"")</f>
        <v/>
      </c>
      <c r="R25" s="44">
        <f>Guide!$H$4*testResults!G24</f>
        <v>0</v>
      </c>
      <c r="S25" s="44">
        <f t="shared" si="6"/>
        <v>0</v>
      </c>
      <c r="T25" s="43" t="str">
        <f>IFERROR(Guide!$I$4*(SUM(ContinuousAssessment!$Z28:$AC28))/COUNTA(ContinuousAssessment!$Z28:$AC28),"")</f>
        <v/>
      </c>
      <c r="U25" s="44">
        <f>Guide!$H$4*testResults!H24</f>
        <v>0</v>
      </c>
      <c r="V25" s="44">
        <f t="shared" si="7"/>
        <v>0</v>
      </c>
      <c r="W25" s="43" t="str">
        <f>IFERROR(((SUM(ContinuousAssessment!$AD28:$AF28))/COUNTA(ContinuousAssessment!$AD28:$AF28))*Guide!$I$4,"")</f>
        <v/>
      </c>
      <c r="X25" s="44">
        <f>Guide!$H$4*testResults!I24</f>
        <v>0</v>
      </c>
      <c r="Y25" s="44">
        <f t="shared" si="8"/>
        <v>0</v>
      </c>
      <c r="Z25" s="43" t="str">
        <f>IFERROR((SUM(ContinuousAssessment!$AH28:$AK28)/COUNTA(ContinuousAssessment!AH28:AK28))*Guide!$I$4,"")</f>
        <v/>
      </c>
      <c r="AA25" s="44">
        <f>testResults!J24*Guide!$H$4</f>
        <v>0</v>
      </c>
      <c r="AB25" s="44">
        <f t="shared" si="9"/>
        <v>0</v>
      </c>
      <c r="AC25" s="44">
        <f t="shared" si="0"/>
        <v>0</v>
      </c>
    </row>
    <row r="26" spans="1:29">
      <c r="A26" s="43">
        <f>'Students Names'!$A25</f>
        <v>0</v>
      </c>
      <c r="B26" s="43" t="str">
        <f>IFERROR(Guide!$I$4*(SUM(ContinuousAssessment!B29:E29)/COUNTA(ContinuousAssessment!B29:E29)),"")</f>
        <v/>
      </c>
      <c r="C26" s="44">
        <f>Guide!$H$4*testResults!B25</f>
        <v>0</v>
      </c>
      <c r="D26" s="44">
        <f t="shared" si="1"/>
        <v>0</v>
      </c>
      <c r="E26" s="43" t="str">
        <f>IFERROR(Guide!$I$4*(SUM(ContinuousAssessment!$F29:$I29)/COUNTA(ContinuousAssessment!$F29:$I29)),"")</f>
        <v/>
      </c>
      <c r="F26" s="44">
        <f>Guide!$H$4*testResults!C25</f>
        <v>0</v>
      </c>
      <c r="G26" s="44">
        <f t="shared" si="2"/>
        <v>0</v>
      </c>
      <c r="H26" s="43" t="str">
        <f>IFERROR(Guide!$I$4*SUM(ContinuousAssessment!$J29:$M29)/COUNTA(ContinuousAssessment!$J29:$M29),"")</f>
        <v/>
      </c>
      <c r="I26" s="44">
        <f>Guide!$H$4*testResults!D25</f>
        <v>0</v>
      </c>
      <c r="J26" s="44">
        <f t="shared" si="3"/>
        <v>0</v>
      </c>
      <c r="K26" s="43" t="str">
        <f>IFERROR(SUM(ContinuousAssessment!$N29:$Q29)/COUNTA(ContinuousAssessment!$N29:$Q29)*Guide!$I$4,"")</f>
        <v/>
      </c>
      <c r="L26" s="44">
        <f>Guide!$H$4*testResults!$E25</f>
        <v>0</v>
      </c>
      <c r="M26" s="44">
        <f t="shared" si="4"/>
        <v>0</v>
      </c>
      <c r="N26" s="43" t="str">
        <f>IFERROR(Guide!$I$4*(SUM(ContinuousAssessment!$R29:$U29))/COUNTA(ContinuousAssessment!R29:U29),"")</f>
        <v/>
      </c>
      <c r="O26" s="44">
        <f>Guide!$H$4*testResults!F25</f>
        <v>0</v>
      </c>
      <c r="P26" s="44">
        <f t="shared" si="5"/>
        <v>0</v>
      </c>
      <c r="Q26" s="43" t="str">
        <f>IFERROR(Guide!$I$4*(SUM(ContinuousAssessment!$V29:$Y29)/COUNTA(ContinuousAssessment!$V29:$Y29)),"")</f>
        <v/>
      </c>
      <c r="R26" s="44">
        <f>Guide!$H$4*testResults!G25</f>
        <v>0</v>
      </c>
      <c r="S26" s="44">
        <f t="shared" si="6"/>
        <v>0</v>
      </c>
      <c r="T26" s="43" t="str">
        <f>IFERROR(Guide!$I$4*(SUM(ContinuousAssessment!$Z29:$AC29))/COUNTA(ContinuousAssessment!$Z29:$AC29),"")</f>
        <v/>
      </c>
      <c r="U26" s="44">
        <f>Guide!$H$4*testResults!H25</f>
        <v>0</v>
      </c>
      <c r="V26" s="44">
        <f t="shared" si="7"/>
        <v>0</v>
      </c>
      <c r="W26" s="43" t="str">
        <f>IFERROR(((SUM(ContinuousAssessment!$AD29:$AF29))/COUNTA(ContinuousAssessment!$AD29:$AF29))*Guide!$I$4,"")</f>
        <v/>
      </c>
      <c r="X26" s="44">
        <f>Guide!$H$4*testResults!I25</f>
        <v>0</v>
      </c>
      <c r="Y26" s="44">
        <f t="shared" si="8"/>
        <v>0</v>
      </c>
      <c r="Z26" s="43" t="str">
        <f>IFERROR((SUM(ContinuousAssessment!$AH29:$AK29)/COUNTA(ContinuousAssessment!AH29:AK29))*Guide!$I$4,"")</f>
        <v/>
      </c>
      <c r="AA26" s="44">
        <f>testResults!J25*Guide!$H$4</f>
        <v>0</v>
      </c>
      <c r="AB26" s="44">
        <f t="shared" si="9"/>
        <v>0</v>
      </c>
      <c r="AC26" s="44">
        <f t="shared" si="0"/>
        <v>0</v>
      </c>
    </row>
    <row r="27" spans="1:29">
      <c r="A27" s="43">
        <f>'Students Names'!$A26</f>
        <v>0</v>
      </c>
      <c r="B27" s="43" t="str">
        <f>IFERROR(Guide!$I$4*(SUM(ContinuousAssessment!B30:E30)/COUNTA(ContinuousAssessment!B30:E30)),"")</f>
        <v/>
      </c>
      <c r="C27" s="44">
        <f>Guide!$H$4*testResults!B26</f>
        <v>0</v>
      </c>
      <c r="D27" s="44">
        <f t="shared" si="1"/>
        <v>0</v>
      </c>
      <c r="E27" s="43" t="str">
        <f>IFERROR(Guide!$I$4*(SUM(ContinuousAssessment!$F30:$I30)/COUNTA(ContinuousAssessment!$F30:$I30)),"")</f>
        <v/>
      </c>
      <c r="F27" s="44">
        <f>Guide!$H$4*testResults!C26</f>
        <v>0</v>
      </c>
      <c r="G27" s="44">
        <f t="shared" si="2"/>
        <v>0</v>
      </c>
      <c r="H27" s="43" t="str">
        <f>IFERROR(Guide!$I$4*SUM(ContinuousAssessment!$J30:$M30)/COUNTA(ContinuousAssessment!$J30:$M30),"")</f>
        <v/>
      </c>
      <c r="I27" s="44">
        <f>Guide!$H$4*testResults!D26</f>
        <v>0</v>
      </c>
      <c r="J27" s="44">
        <f t="shared" si="3"/>
        <v>0</v>
      </c>
      <c r="K27" s="43" t="str">
        <f>IFERROR(SUM(ContinuousAssessment!$N30:$Q30)/COUNTA(ContinuousAssessment!$N30:$Q30)*Guide!$I$4,"")</f>
        <v/>
      </c>
      <c r="L27" s="44">
        <f>Guide!$H$4*testResults!$E26</f>
        <v>0</v>
      </c>
      <c r="M27" s="44">
        <f t="shared" si="4"/>
        <v>0</v>
      </c>
      <c r="N27" s="43" t="str">
        <f>IFERROR(Guide!$I$4*(SUM(ContinuousAssessment!$R30:$U30))/COUNTA(ContinuousAssessment!R30:U30),"")</f>
        <v/>
      </c>
      <c r="O27" s="44">
        <f>Guide!$H$4*testResults!F26</f>
        <v>0</v>
      </c>
      <c r="P27" s="44">
        <f t="shared" si="5"/>
        <v>0</v>
      </c>
      <c r="Q27" s="43" t="str">
        <f>IFERROR(Guide!$I$4*(SUM(ContinuousAssessment!$V30:$Y30)/COUNTA(ContinuousAssessment!$V30:$Y30)),"")</f>
        <v/>
      </c>
      <c r="R27" s="44">
        <f>Guide!$H$4*testResults!G26</f>
        <v>0</v>
      </c>
      <c r="S27" s="44">
        <f t="shared" si="6"/>
        <v>0</v>
      </c>
      <c r="T27" s="43" t="str">
        <f>IFERROR(Guide!$I$4*(SUM(ContinuousAssessment!$Z30:$AC30))/COUNTA(ContinuousAssessment!$Z30:$AC30),"")</f>
        <v/>
      </c>
      <c r="U27" s="44">
        <f>Guide!$H$4*testResults!H26</f>
        <v>0</v>
      </c>
      <c r="V27" s="44">
        <f t="shared" si="7"/>
        <v>0</v>
      </c>
      <c r="W27" s="43" t="str">
        <f>IFERROR(((SUM(ContinuousAssessment!$AD30:$AF30))/COUNTA(ContinuousAssessment!$AD30:$AF30))*Guide!$I$4,"")</f>
        <v/>
      </c>
      <c r="X27" s="44">
        <f>Guide!$H$4*testResults!I26</f>
        <v>0</v>
      </c>
      <c r="Y27" s="44">
        <f t="shared" si="8"/>
        <v>0</v>
      </c>
      <c r="Z27" s="43" t="str">
        <f>IFERROR((SUM(ContinuousAssessment!$AH30:$AK30)/COUNTA(ContinuousAssessment!AH30:AK30))*Guide!$I$4,"")</f>
        <v/>
      </c>
      <c r="AA27" s="44">
        <f>testResults!J26*Guide!$H$4</f>
        <v>0</v>
      </c>
      <c r="AB27" s="44">
        <f t="shared" si="9"/>
        <v>0</v>
      </c>
      <c r="AC27" s="44">
        <f t="shared" si="0"/>
        <v>0</v>
      </c>
    </row>
    <row r="28" spans="1:29">
      <c r="A28" s="43">
        <f>'Students Names'!$A27</f>
        <v>0</v>
      </c>
      <c r="B28" s="43" t="str">
        <f>IFERROR(Guide!$I$4*(SUM(ContinuousAssessment!B31:E31)/COUNTA(ContinuousAssessment!B31:E31)),"")</f>
        <v/>
      </c>
      <c r="C28" s="44">
        <f>Guide!$H$4*testResults!B27</f>
        <v>0</v>
      </c>
      <c r="D28" s="44">
        <f t="shared" si="1"/>
        <v>0</v>
      </c>
      <c r="E28" s="43" t="str">
        <f>IFERROR(Guide!$I$4*(SUM(ContinuousAssessment!$F31:$I31)/COUNTA(ContinuousAssessment!$F31:$I31)),"")</f>
        <v/>
      </c>
      <c r="F28" s="44">
        <f>Guide!$H$4*testResults!C27</f>
        <v>0</v>
      </c>
      <c r="G28" s="44">
        <f t="shared" si="2"/>
        <v>0</v>
      </c>
      <c r="H28" s="43" t="str">
        <f>IFERROR(Guide!$I$4*SUM(ContinuousAssessment!$J31:$M31)/COUNTA(ContinuousAssessment!$J31:$M31),"")</f>
        <v/>
      </c>
      <c r="I28" s="44">
        <f>Guide!$H$4*testResults!D27</f>
        <v>0</v>
      </c>
      <c r="J28" s="44">
        <f t="shared" si="3"/>
        <v>0</v>
      </c>
      <c r="K28" s="43" t="str">
        <f>IFERROR(SUM(ContinuousAssessment!$N31:$Q31)/COUNTA(ContinuousAssessment!$N31:$Q31)*Guide!$I$4,"")</f>
        <v/>
      </c>
      <c r="L28" s="44">
        <f>Guide!$H$4*testResults!$E27</f>
        <v>0</v>
      </c>
      <c r="M28" s="44">
        <f t="shared" si="4"/>
        <v>0</v>
      </c>
      <c r="N28" s="43" t="str">
        <f>IFERROR(Guide!$I$4*(SUM(ContinuousAssessment!$R31:$U31))/COUNTA(ContinuousAssessment!R31:U31),"")</f>
        <v/>
      </c>
      <c r="O28" s="44">
        <f>Guide!$H$4*testResults!F27</f>
        <v>0</v>
      </c>
      <c r="P28" s="44">
        <f t="shared" si="5"/>
        <v>0</v>
      </c>
      <c r="Q28" s="43" t="str">
        <f>IFERROR(Guide!$I$4*(SUM(ContinuousAssessment!$V31:$Y31)/COUNTA(ContinuousAssessment!$V31:$Y31)),"")</f>
        <v/>
      </c>
      <c r="R28" s="44">
        <f>Guide!$H$4*testResults!G27</f>
        <v>0</v>
      </c>
      <c r="S28" s="44">
        <f t="shared" si="6"/>
        <v>0</v>
      </c>
      <c r="T28" s="43" t="str">
        <f>IFERROR(Guide!$I$4*(SUM(ContinuousAssessment!$Z31:$AC31))/COUNTA(ContinuousAssessment!$Z31:$AC31),"")</f>
        <v/>
      </c>
      <c r="U28" s="44">
        <f>Guide!$H$4*testResults!H27</f>
        <v>0</v>
      </c>
      <c r="V28" s="44">
        <f t="shared" si="7"/>
        <v>0</v>
      </c>
      <c r="W28" s="43" t="str">
        <f>IFERROR(((SUM(ContinuousAssessment!$AD31:$AF31))/COUNTA(ContinuousAssessment!$AD31:$AF31))*Guide!$I$4,"")</f>
        <v/>
      </c>
      <c r="X28" s="44">
        <f>Guide!$H$4*testResults!I27</f>
        <v>0</v>
      </c>
      <c r="Y28" s="44">
        <f t="shared" si="8"/>
        <v>0</v>
      </c>
      <c r="Z28" s="43" t="str">
        <f>IFERROR((SUM(ContinuousAssessment!$AH31:$AK31)/COUNTA(ContinuousAssessment!AH31:AK31))*Guide!$I$4,"")</f>
        <v/>
      </c>
      <c r="AA28" s="44">
        <f>testResults!J27*Guide!$H$4</f>
        <v>0</v>
      </c>
      <c r="AB28" s="44">
        <f t="shared" si="9"/>
        <v>0</v>
      </c>
      <c r="AC28" s="44">
        <f t="shared" si="0"/>
        <v>0</v>
      </c>
    </row>
    <row r="29" spans="1:29">
      <c r="A29" s="43">
        <f>'Students Names'!$A28</f>
        <v>0</v>
      </c>
      <c r="B29" s="43" t="str">
        <f>IFERROR(Guide!$I$4*(SUM(ContinuousAssessment!B32:E32)/COUNTA(ContinuousAssessment!B32:E32)),"")</f>
        <v/>
      </c>
      <c r="C29" s="44">
        <f>Guide!$H$4*testResults!B28</f>
        <v>0</v>
      </c>
      <c r="D29" s="44">
        <f t="shared" si="1"/>
        <v>0</v>
      </c>
      <c r="E29" s="43" t="str">
        <f>IFERROR(Guide!$I$4*(SUM(ContinuousAssessment!$F32:$I32)/COUNTA(ContinuousAssessment!$F32:$I32)),"")</f>
        <v/>
      </c>
      <c r="F29" s="44">
        <f>Guide!$H$4*testResults!C28</f>
        <v>0</v>
      </c>
      <c r="G29" s="44">
        <f t="shared" si="2"/>
        <v>0</v>
      </c>
      <c r="H29" s="43" t="str">
        <f>IFERROR(Guide!$I$4*SUM(ContinuousAssessment!$J32:$M32)/COUNTA(ContinuousAssessment!$J32:$M32),"")</f>
        <v/>
      </c>
      <c r="I29" s="44">
        <f>Guide!$H$4*testResults!D28</f>
        <v>0</v>
      </c>
      <c r="J29" s="44">
        <f t="shared" si="3"/>
        <v>0</v>
      </c>
      <c r="K29" s="43" t="str">
        <f>IFERROR(SUM(ContinuousAssessment!$N32:$Q32)/COUNTA(ContinuousAssessment!$N32:$Q32)*Guide!$I$4,"")</f>
        <v/>
      </c>
      <c r="L29" s="44">
        <f>Guide!$H$4*testResults!$E28</f>
        <v>0</v>
      </c>
      <c r="M29" s="44">
        <f t="shared" si="4"/>
        <v>0</v>
      </c>
      <c r="N29" s="43" t="str">
        <f>IFERROR(Guide!$I$4*(SUM(ContinuousAssessment!$R32:$U32))/COUNTA(ContinuousAssessment!R32:U32),"")</f>
        <v/>
      </c>
      <c r="O29" s="44">
        <f>Guide!$H$4*testResults!F28</f>
        <v>0</v>
      </c>
      <c r="P29" s="44">
        <f t="shared" si="5"/>
        <v>0</v>
      </c>
      <c r="Q29" s="43" t="str">
        <f>IFERROR(Guide!$I$4*(SUM(ContinuousAssessment!$V32:$Y32)/COUNTA(ContinuousAssessment!$V32:$Y32)),"")</f>
        <v/>
      </c>
      <c r="R29" s="44">
        <f>Guide!$H$4*testResults!G28</f>
        <v>0</v>
      </c>
      <c r="S29" s="44">
        <f t="shared" si="6"/>
        <v>0</v>
      </c>
      <c r="T29" s="43" t="str">
        <f>IFERROR(Guide!$I$4*(SUM(ContinuousAssessment!$Z32:$AC32))/COUNTA(ContinuousAssessment!$Z32:$AC32),"")</f>
        <v/>
      </c>
      <c r="U29" s="44">
        <f>Guide!$H$4*testResults!H28</f>
        <v>0</v>
      </c>
      <c r="V29" s="44">
        <f t="shared" si="7"/>
        <v>0</v>
      </c>
      <c r="W29" s="43" t="str">
        <f>IFERROR(((SUM(ContinuousAssessment!$AD32:$AF32))/COUNTA(ContinuousAssessment!$AD32:$AF32))*Guide!$I$4,"")</f>
        <v/>
      </c>
      <c r="X29" s="44">
        <f>Guide!$H$4*testResults!I28</f>
        <v>0</v>
      </c>
      <c r="Y29" s="44">
        <f t="shared" si="8"/>
        <v>0</v>
      </c>
      <c r="Z29" s="43" t="str">
        <f>IFERROR((SUM(ContinuousAssessment!$AH32:$AK32)/COUNTA(ContinuousAssessment!AH32:AK32))*Guide!$I$4,"")</f>
        <v/>
      </c>
      <c r="AA29" s="44">
        <f>testResults!J28*Guide!$H$4</f>
        <v>0</v>
      </c>
      <c r="AB29" s="44">
        <f t="shared" si="9"/>
        <v>0</v>
      </c>
      <c r="AC29" s="44">
        <f t="shared" si="0"/>
        <v>0</v>
      </c>
    </row>
    <row r="30" spans="1:29">
      <c r="A30" s="43">
        <f>'Students Names'!$A29</f>
        <v>0</v>
      </c>
      <c r="B30" s="43" t="str">
        <f>IFERROR(Guide!$I$4*(SUM(ContinuousAssessment!B33:E33)/COUNTA(ContinuousAssessment!B33:E33)),"")</f>
        <v/>
      </c>
      <c r="C30" s="44">
        <f>Guide!$H$4*testResults!B29</f>
        <v>0</v>
      </c>
      <c r="D30" s="44">
        <f t="shared" si="1"/>
        <v>0</v>
      </c>
      <c r="E30" s="43" t="str">
        <f>IFERROR(Guide!$I$4*(SUM(ContinuousAssessment!$F33:$I33)/COUNTA(ContinuousAssessment!$F33:$I33)),"")</f>
        <v/>
      </c>
      <c r="F30" s="44">
        <f>Guide!$H$4*testResults!C29</f>
        <v>0</v>
      </c>
      <c r="G30" s="44">
        <f t="shared" si="2"/>
        <v>0</v>
      </c>
      <c r="H30" s="43" t="str">
        <f>IFERROR(Guide!$I$4*SUM(ContinuousAssessment!$J33:$M33)/COUNTA(ContinuousAssessment!$J33:$M33),"")</f>
        <v/>
      </c>
      <c r="I30" s="44">
        <f>Guide!$H$4*testResults!D29</f>
        <v>0</v>
      </c>
      <c r="J30" s="44">
        <f t="shared" si="3"/>
        <v>0</v>
      </c>
      <c r="K30" s="43" t="str">
        <f>IFERROR(SUM(ContinuousAssessment!$N33:$Q33)/COUNTA(ContinuousAssessment!$N33:$Q33)*Guide!$I$4,"")</f>
        <v/>
      </c>
      <c r="L30" s="44">
        <f>Guide!$H$4*testResults!$E29</f>
        <v>0</v>
      </c>
      <c r="M30" s="44">
        <f t="shared" si="4"/>
        <v>0</v>
      </c>
      <c r="N30" s="43" t="str">
        <f>IFERROR(Guide!$I$4*(SUM(ContinuousAssessment!$R33:$U33))/COUNTA(ContinuousAssessment!R33:U33),"")</f>
        <v/>
      </c>
      <c r="O30" s="44">
        <f>Guide!$H$4*testResults!F29</f>
        <v>0</v>
      </c>
      <c r="P30" s="44">
        <f t="shared" si="5"/>
        <v>0</v>
      </c>
      <c r="Q30" s="43" t="str">
        <f>IFERROR(Guide!$I$4*(SUM(ContinuousAssessment!$V33:$Y33)/COUNTA(ContinuousAssessment!$V33:$Y33)),"")</f>
        <v/>
      </c>
      <c r="R30" s="44">
        <f>Guide!$H$4*testResults!G29</f>
        <v>0</v>
      </c>
      <c r="S30" s="44">
        <f t="shared" si="6"/>
        <v>0</v>
      </c>
      <c r="T30" s="43" t="str">
        <f>IFERROR(Guide!$I$4*(SUM(ContinuousAssessment!$Z33:$AC33))/COUNTA(ContinuousAssessment!$Z33:$AC33),"")</f>
        <v/>
      </c>
      <c r="U30" s="44">
        <f>Guide!$H$4*testResults!H29</f>
        <v>0</v>
      </c>
      <c r="V30" s="44">
        <f t="shared" si="7"/>
        <v>0</v>
      </c>
      <c r="W30" s="43" t="str">
        <f>IFERROR(((SUM(ContinuousAssessment!$AD33:$AF33))/COUNTA(ContinuousAssessment!$AD33:$AF33))*Guide!$I$4,"")</f>
        <v/>
      </c>
      <c r="X30" s="44">
        <f>Guide!$H$4*testResults!I29</f>
        <v>0</v>
      </c>
      <c r="Y30" s="44">
        <f t="shared" si="8"/>
        <v>0</v>
      </c>
      <c r="Z30" s="43" t="str">
        <f>IFERROR((SUM(ContinuousAssessment!$AH33:$AK33)/COUNTA(ContinuousAssessment!AH33:AK33))*Guide!$I$4,"")</f>
        <v/>
      </c>
      <c r="AA30" s="44">
        <f>testResults!J29*Guide!$H$4</f>
        <v>0</v>
      </c>
      <c r="AB30" s="44">
        <f t="shared" si="9"/>
        <v>0</v>
      </c>
      <c r="AC30" s="44">
        <f t="shared" si="0"/>
        <v>0</v>
      </c>
    </row>
    <row r="31" spans="1:29">
      <c r="A31" s="43">
        <f>'Students Names'!$A30</f>
        <v>0</v>
      </c>
      <c r="B31" s="43" t="str">
        <f>IFERROR(Guide!$I$4*(SUM(ContinuousAssessment!B34:E34)/COUNTA(ContinuousAssessment!B34:E34)),"")</f>
        <v/>
      </c>
      <c r="C31" s="44">
        <f>Guide!$H$4*testResults!B30</f>
        <v>0</v>
      </c>
      <c r="D31" s="44">
        <f t="shared" si="1"/>
        <v>0</v>
      </c>
      <c r="E31" s="43" t="str">
        <f>IFERROR(Guide!$I$4*(SUM(ContinuousAssessment!$F34:$I34)/COUNTA(ContinuousAssessment!$F34:$I34)),"")</f>
        <v/>
      </c>
      <c r="F31" s="44">
        <f>Guide!$H$4*testResults!C30</f>
        <v>0</v>
      </c>
      <c r="G31" s="44">
        <f t="shared" si="2"/>
        <v>0</v>
      </c>
      <c r="H31" s="43" t="str">
        <f>IFERROR(Guide!$I$4*SUM(ContinuousAssessment!$J34:$M34)/COUNTA(ContinuousAssessment!$J34:$M34),"")</f>
        <v/>
      </c>
      <c r="I31" s="44">
        <f>Guide!$H$4*testResults!D30</f>
        <v>0</v>
      </c>
      <c r="J31" s="44">
        <f t="shared" si="3"/>
        <v>0</v>
      </c>
      <c r="K31" s="43" t="str">
        <f>IFERROR(SUM(ContinuousAssessment!$N34:$Q34)/COUNTA(ContinuousAssessment!$N34:$Q34)*Guide!$I$4,"")</f>
        <v/>
      </c>
      <c r="L31" s="44">
        <f>Guide!$H$4*testResults!$E30</f>
        <v>0</v>
      </c>
      <c r="M31" s="44">
        <f t="shared" si="4"/>
        <v>0</v>
      </c>
      <c r="N31" s="43" t="str">
        <f>IFERROR(Guide!$I$4*(SUM(ContinuousAssessment!$R34:$U34))/COUNTA(ContinuousAssessment!R34:U34),"")</f>
        <v/>
      </c>
      <c r="O31" s="44">
        <f>Guide!$H$4*testResults!F30</f>
        <v>0</v>
      </c>
      <c r="P31" s="44">
        <f t="shared" si="5"/>
        <v>0</v>
      </c>
      <c r="Q31" s="43" t="str">
        <f>IFERROR(Guide!$I$4*(SUM(ContinuousAssessment!$V34:$Y34)/COUNTA(ContinuousAssessment!$V34:$Y34)),"")</f>
        <v/>
      </c>
      <c r="R31" s="44">
        <f>Guide!$H$4*testResults!G30</f>
        <v>0</v>
      </c>
      <c r="S31" s="44">
        <f t="shared" si="6"/>
        <v>0</v>
      </c>
      <c r="T31" s="43" t="str">
        <f>IFERROR(Guide!$I$4*(SUM(ContinuousAssessment!$Z34:$AC34))/COUNTA(ContinuousAssessment!$Z34:$AC34),"")</f>
        <v/>
      </c>
      <c r="U31" s="44">
        <f>Guide!$H$4*testResults!H30</f>
        <v>0</v>
      </c>
      <c r="V31" s="44">
        <f t="shared" si="7"/>
        <v>0</v>
      </c>
      <c r="W31" s="43" t="str">
        <f>IFERROR(((SUM(ContinuousAssessment!$AD34:$AF34))/COUNTA(ContinuousAssessment!$AD34:$AF34))*Guide!$I$4,"")</f>
        <v/>
      </c>
      <c r="X31" s="44">
        <f>Guide!$H$4*testResults!I30</f>
        <v>0</v>
      </c>
      <c r="Y31" s="44">
        <f t="shared" si="8"/>
        <v>0</v>
      </c>
      <c r="Z31" s="43" t="str">
        <f>IFERROR((SUM(ContinuousAssessment!$AH34:$AK34)/COUNTA(ContinuousAssessment!AH34:AK34))*Guide!$I$4,"")</f>
        <v/>
      </c>
      <c r="AA31" s="44">
        <f>testResults!J30*Guide!$H$4</f>
        <v>0</v>
      </c>
      <c r="AB31" s="44">
        <f t="shared" si="9"/>
        <v>0</v>
      </c>
      <c r="AC31" s="44">
        <f t="shared" si="0"/>
        <v>0</v>
      </c>
    </row>
    <row r="32" spans="1:29">
      <c r="A32" s="43">
        <f>'Students Names'!$A31</f>
        <v>0</v>
      </c>
      <c r="B32" s="43" t="str">
        <f>IFERROR(Guide!$I$4*(SUM(ContinuousAssessment!B35:E35)/COUNTA(ContinuousAssessment!B35:E35)),"")</f>
        <v/>
      </c>
      <c r="C32" s="44">
        <f>Guide!$H$4*testResults!B31</f>
        <v>0</v>
      </c>
      <c r="D32" s="44">
        <f t="shared" si="1"/>
        <v>0</v>
      </c>
      <c r="E32" s="43" t="str">
        <f>IFERROR(Guide!$I$4*(SUM(ContinuousAssessment!$F35:$I35)/COUNTA(ContinuousAssessment!$F35:$I35)),"")</f>
        <v/>
      </c>
      <c r="F32" s="44">
        <f>Guide!$H$4*testResults!C31</f>
        <v>0</v>
      </c>
      <c r="G32" s="44">
        <f t="shared" si="2"/>
        <v>0</v>
      </c>
      <c r="H32" s="43" t="str">
        <f>IFERROR(Guide!$I$4*SUM(ContinuousAssessment!$J35:$M35)/COUNTA(ContinuousAssessment!$J35:$M35),"")</f>
        <v/>
      </c>
      <c r="I32" s="44">
        <f>Guide!$H$4*testResults!D31</f>
        <v>0</v>
      </c>
      <c r="J32" s="44">
        <f t="shared" si="3"/>
        <v>0</v>
      </c>
      <c r="K32" s="43" t="str">
        <f>IFERROR(SUM(ContinuousAssessment!$N35:$Q35)/COUNTA(ContinuousAssessment!$N35:$Q35)*Guide!$I$4,"")</f>
        <v/>
      </c>
      <c r="L32" s="44">
        <f>Guide!$H$4*testResults!$E31</f>
        <v>0</v>
      </c>
      <c r="M32" s="44">
        <f t="shared" si="4"/>
        <v>0</v>
      </c>
      <c r="N32" s="43" t="str">
        <f>IFERROR(Guide!$I$4*(SUM(ContinuousAssessment!$R35:$U35))/COUNTA(ContinuousAssessment!R35:U35),"")</f>
        <v/>
      </c>
      <c r="O32" s="44">
        <f>Guide!$H$4*testResults!F31</f>
        <v>0</v>
      </c>
      <c r="P32" s="44">
        <f t="shared" si="5"/>
        <v>0</v>
      </c>
      <c r="Q32" s="43" t="str">
        <f>IFERROR(Guide!$I$4*(SUM(ContinuousAssessment!$V35:$Y35)/COUNTA(ContinuousAssessment!$V35:$Y35)),"")</f>
        <v/>
      </c>
      <c r="R32" s="44">
        <f>Guide!$H$4*testResults!G31</f>
        <v>0</v>
      </c>
      <c r="S32" s="44">
        <f t="shared" si="6"/>
        <v>0</v>
      </c>
      <c r="T32" s="43" t="str">
        <f>IFERROR(Guide!$I$4*(SUM(ContinuousAssessment!$Z35:$AC35))/COUNTA(ContinuousAssessment!$Z35:$AC35),"")</f>
        <v/>
      </c>
      <c r="U32" s="44">
        <f>Guide!$H$4*testResults!H31</f>
        <v>0</v>
      </c>
      <c r="V32" s="44">
        <f t="shared" si="7"/>
        <v>0</v>
      </c>
      <c r="W32" s="43" t="str">
        <f>IFERROR(((SUM(ContinuousAssessment!$AD35:$AF35))/COUNTA(ContinuousAssessment!$AD35:$AF35))*Guide!$I$4,"")</f>
        <v/>
      </c>
      <c r="X32" s="44">
        <f>Guide!$H$4*testResults!I31</f>
        <v>0</v>
      </c>
      <c r="Y32" s="44">
        <f t="shared" si="8"/>
        <v>0</v>
      </c>
      <c r="Z32" s="43" t="str">
        <f>IFERROR((SUM(ContinuousAssessment!$AH35:$AK35)/COUNTA(ContinuousAssessment!AH35:AK35))*Guide!$I$4,"")</f>
        <v/>
      </c>
      <c r="AA32" s="44">
        <f>testResults!J31*Guide!$H$4</f>
        <v>0</v>
      </c>
      <c r="AB32" s="44">
        <f t="shared" si="9"/>
        <v>0</v>
      </c>
      <c r="AC32" s="44">
        <f t="shared" si="0"/>
        <v>0</v>
      </c>
    </row>
    <row r="33" spans="1:29">
      <c r="A33" s="43">
        <f>'Students Names'!$A32</f>
        <v>0</v>
      </c>
      <c r="B33" s="43" t="str">
        <f>IFERROR(Guide!$I$4*(SUM(ContinuousAssessment!B36:E36)/COUNTA(ContinuousAssessment!B36:E36)),"")</f>
        <v/>
      </c>
      <c r="C33" s="44">
        <f>Guide!$H$4*testResults!B32</f>
        <v>0</v>
      </c>
      <c r="D33" s="44">
        <f t="shared" si="1"/>
        <v>0</v>
      </c>
      <c r="E33" s="43" t="str">
        <f>IFERROR(Guide!$I$4*(SUM(ContinuousAssessment!$F36:$I36)/COUNTA(ContinuousAssessment!$F36:$I36)),"")</f>
        <v/>
      </c>
      <c r="F33" s="44">
        <f>Guide!$H$4*testResults!C32</f>
        <v>0</v>
      </c>
      <c r="G33" s="44">
        <f t="shared" si="2"/>
        <v>0</v>
      </c>
      <c r="H33" s="43" t="str">
        <f>IFERROR(Guide!$I$4*SUM(ContinuousAssessment!$J36:$M36)/COUNTA(ContinuousAssessment!$J36:$M36),"")</f>
        <v/>
      </c>
      <c r="I33" s="44">
        <f>Guide!$H$4*testResults!D32</f>
        <v>0</v>
      </c>
      <c r="J33" s="44">
        <f t="shared" si="3"/>
        <v>0</v>
      </c>
      <c r="K33" s="43" t="str">
        <f>IFERROR(SUM(ContinuousAssessment!$N36:$Q36)/COUNTA(ContinuousAssessment!$N36:$Q36)*Guide!$I$4,"")</f>
        <v/>
      </c>
      <c r="L33" s="44">
        <f>Guide!$H$4*testResults!$E32</f>
        <v>0</v>
      </c>
      <c r="M33" s="44">
        <f t="shared" si="4"/>
        <v>0</v>
      </c>
      <c r="N33" s="43" t="str">
        <f>IFERROR(Guide!$I$4*(SUM(ContinuousAssessment!$R36:$U36))/COUNTA(ContinuousAssessment!R36:U36),"")</f>
        <v/>
      </c>
      <c r="O33" s="44">
        <f>Guide!$H$4*testResults!F32</f>
        <v>0</v>
      </c>
      <c r="P33" s="44">
        <f t="shared" si="5"/>
        <v>0</v>
      </c>
      <c r="Q33" s="43" t="str">
        <f>IFERROR(Guide!$I$4*(SUM(ContinuousAssessment!$V36:$Y36)/COUNTA(ContinuousAssessment!$V36:$Y36)),"")</f>
        <v/>
      </c>
      <c r="R33" s="44">
        <f>Guide!$H$4*testResults!G32</f>
        <v>0</v>
      </c>
      <c r="S33" s="44">
        <f t="shared" si="6"/>
        <v>0</v>
      </c>
      <c r="T33" s="43" t="str">
        <f>IFERROR(Guide!$I$4*(SUM(ContinuousAssessment!$Z36:$AC36))/COUNTA(ContinuousAssessment!$Z36:$AC36),"")</f>
        <v/>
      </c>
      <c r="U33" s="44">
        <f>Guide!$H$4*testResults!H32</f>
        <v>0</v>
      </c>
      <c r="V33" s="44">
        <f t="shared" si="7"/>
        <v>0</v>
      </c>
      <c r="W33" s="43" t="str">
        <f>IFERROR(((SUM(ContinuousAssessment!$AD36:$AF36))/COUNTA(ContinuousAssessment!$AD36:$AF36))*Guide!$I$4,"")</f>
        <v/>
      </c>
      <c r="X33" s="44">
        <f>Guide!$H$4*testResults!I32</f>
        <v>0</v>
      </c>
      <c r="Y33" s="44">
        <f t="shared" si="8"/>
        <v>0</v>
      </c>
      <c r="Z33" s="43" t="str">
        <f>IFERROR((SUM(ContinuousAssessment!$AH36:$AK36)/COUNTA(ContinuousAssessment!AH36:AK36))*Guide!$I$4,"")</f>
        <v/>
      </c>
      <c r="AA33" s="44">
        <f>testResults!J32*Guide!$H$4</f>
        <v>0</v>
      </c>
      <c r="AB33" s="44">
        <f t="shared" si="9"/>
        <v>0</v>
      </c>
      <c r="AC33" s="44">
        <f t="shared" si="0"/>
        <v>0</v>
      </c>
    </row>
    <row r="34" spans="1:29">
      <c r="A34" s="43">
        <f>'Students Names'!$A33</f>
        <v>0</v>
      </c>
      <c r="B34" s="43" t="str">
        <f>IFERROR(Guide!$I$4*(SUM(ContinuousAssessment!B37:E37)/COUNTA(ContinuousAssessment!B37:E37)),"")</f>
        <v/>
      </c>
      <c r="C34" s="44">
        <f>Guide!$H$4*testResults!B33</f>
        <v>0</v>
      </c>
      <c r="D34" s="44">
        <f t="shared" si="1"/>
        <v>0</v>
      </c>
      <c r="E34" s="43" t="str">
        <f>IFERROR(Guide!$I$4*(SUM(ContinuousAssessment!$F37:$I37)/COUNTA(ContinuousAssessment!$F37:$I37)),"")</f>
        <v/>
      </c>
      <c r="F34" s="44">
        <f>Guide!$H$4*testResults!C33</f>
        <v>0</v>
      </c>
      <c r="G34" s="44">
        <f t="shared" si="2"/>
        <v>0</v>
      </c>
      <c r="H34" s="43" t="str">
        <f>IFERROR(Guide!$I$4*SUM(ContinuousAssessment!$J37:$M37)/COUNTA(ContinuousAssessment!$J37:$M37),"")</f>
        <v/>
      </c>
      <c r="I34" s="44">
        <f>Guide!$H$4*testResults!D33</f>
        <v>0</v>
      </c>
      <c r="J34" s="44">
        <f t="shared" si="3"/>
        <v>0</v>
      </c>
      <c r="K34" s="43" t="str">
        <f>IFERROR(SUM(ContinuousAssessment!$N37:$Q37)/COUNTA(ContinuousAssessment!$N37:$Q37)*Guide!$I$4,"")</f>
        <v/>
      </c>
      <c r="L34" s="44">
        <f>Guide!$H$4*testResults!$E33</f>
        <v>0</v>
      </c>
      <c r="M34" s="44">
        <f t="shared" si="4"/>
        <v>0</v>
      </c>
      <c r="N34" s="43" t="str">
        <f>IFERROR(Guide!$I$4*(SUM(ContinuousAssessment!$R37:$U37))/COUNTA(ContinuousAssessment!R37:U37),"")</f>
        <v/>
      </c>
      <c r="O34" s="44">
        <f>Guide!$H$4*testResults!F33</f>
        <v>0</v>
      </c>
      <c r="P34" s="44">
        <f t="shared" si="5"/>
        <v>0</v>
      </c>
      <c r="Q34" s="43" t="str">
        <f>IFERROR(Guide!$I$4*(SUM(ContinuousAssessment!$V37:$Y37)/COUNTA(ContinuousAssessment!$V37:$Y37)),"")</f>
        <v/>
      </c>
      <c r="R34" s="44">
        <f>Guide!$H$4*testResults!G33</f>
        <v>0</v>
      </c>
      <c r="S34" s="44">
        <f t="shared" si="6"/>
        <v>0</v>
      </c>
      <c r="T34" s="43" t="str">
        <f>IFERROR(Guide!$I$4*(SUM(ContinuousAssessment!$Z37:$AC37))/COUNTA(ContinuousAssessment!$Z37:$AC37),"")</f>
        <v/>
      </c>
      <c r="U34" s="44">
        <f>Guide!$H$4*testResults!H33</f>
        <v>0</v>
      </c>
      <c r="V34" s="44">
        <f t="shared" si="7"/>
        <v>0</v>
      </c>
      <c r="W34" s="43" t="str">
        <f>IFERROR(((SUM(ContinuousAssessment!$AD37:$AF37))/COUNTA(ContinuousAssessment!$AD37:$AF37))*Guide!$I$4,"")</f>
        <v/>
      </c>
      <c r="X34" s="44">
        <f>Guide!$H$4*testResults!I33</f>
        <v>0</v>
      </c>
      <c r="Y34" s="44">
        <f t="shared" si="8"/>
        <v>0</v>
      </c>
      <c r="Z34" s="43" t="str">
        <f>IFERROR((SUM(ContinuousAssessment!$AH37:$AK37)/COUNTA(ContinuousAssessment!AH37:AK37))*Guide!$I$4,"")</f>
        <v/>
      </c>
      <c r="AA34" s="44">
        <f>testResults!J33*Guide!$H$4</f>
        <v>0</v>
      </c>
      <c r="AB34" s="44">
        <f t="shared" si="9"/>
        <v>0</v>
      </c>
      <c r="AC34" s="44">
        <f t="shared" si="0"/>
        <v>0</v>
      </c>
    </row>
    <row r="35" spans="1:29">
      <c r="A35" s="43">
        <f>'Students Names'!$A34</f>
        <v>0</v>
      </c>
      <c r="B35" s="43" t="str">
        <f>IFERROR(Guide!$I$4*(SUM(ContinuousAssessment!B38:E38)/COUNTA(ContinuousAssessment!B38:E38)),"")</f>
        <v/>
      </c>
      <c r="C35" s="44">
        <f>Guide!$H$4*testResults!B34</f>
        <v>0</v>
      </c>
      <c r="D35" s="44">
        <f t="shared" si="1"/>
        <v>0</v>
      </c>
      <c r="E35" s="43" t="str">
        <f>IFERROR(Guide!$I$4*(SUM(ContinuousAssessment!$F38:$I38)/COUNTA(ContinuousAssessment!$F38:$I38)),"")</f>
        <v/>
      </c>
      <c r="F35" s="44">
        <f>Guide!$H$4*testResults!C34</f>
        <v>0</v>
      </c>
      <c r="G35" s="44">
        <f t="shared" si="2"/>
        <v>0</v>
      </c>
      <c r="H35" s="43" t="str">
        <f>IFERROR(Guide!$I$4*SUM(ContinuousAssessment!$J38:$M38)/COUNTA(ContinuousAssessment!$J38:$M38),"")</f>
        <v/>
      </c>
      <c r="I35" s="44">
        <f>Guide!$H$4*testResults!D34</f>
        <v>0</v>
      </c>
      <c r="J35" s="44">
        <f t="shared" si="3"/>
        <v>0</v>
      </c>
      <c r="K35" s="43" t="str">
        <f>IFERROR(SUM(ContinuousAssessment!$N38:$Q38)/COUNTA(ContinuousAssessment!$N38:$Q38)*Guide!$I$4,"")</f>
        <v/>
      </c>
      <c r="L35" s="44">
        <f>Guide!$H$4*testResults!$E34</f>
        <v>0</v>
      </c>
      <c r="M35" s="44">
        <f t="shared" si="4"/>
        <v>0</v>
      </c>
      <c r="N35" s="43" t="str">
        <f>IFERROR(Guide!$I$4*(SUM(ContinuousAssessment!$R38:$U38))/COUNTA(ContinuousAssessment!R38:U38),"")</f>
        <v/>
      </c>
      <c r="O35" s="44">
        <f>Guide!$H$4*testResults!F34</f>
        <v>0</v>
      </c>
      <c r="P35" s="44">
        <f t="shared" si="5"/>
        <v>0</v>
      </c>
      <c r="Q35" s="43" t="str">
        <f>IFERROR(Guide!$I$4*(SUM(ContinuousAssessment!$V38:$Y38)/COUNTA(ContinuousAssessment!$V38:$Y38)),"")</f>
        <v/>
      </c>
      <c r="R35" s="44">
        <f>Guide!$H$4*testResults!G34</f>
        <v>0</v>
      </c>
      <c r="S35" s="44">
        <f t="shared" si="6"/>
        <v>0</v>
      </c>
      <c r="T35" s="43" t="str">
        <f>IFERROR(Guide!$I$4*(SUM(ContinuousAssessment!$Z38:$AC38))/COUNTA(ContinuousAssessment!$Z38:$AC38),"")</f>
        <v/>
      </c>
      <c r="U35" s="44">
        <f>Guide!$H$4*testResults!H34</f>
        <v>0</v>
      </c>
      <c r="V35" s="44">
        <f t="shared" si="7"/>
        <v>0</v>
      </c>
      <c r="W35" s="43" t="str">
        <f>IFERROR(((SUM(ContinuousAssessment!$AD38:$AF38))/COUNTA(ContinuousAssessment!$AD38:$AF38))*Guide!$I$4,"")</f>
        <v/>
      </c>
      <c r="X35" s="44">
        <f>Guide!$H$4*testResults!I34</f>
        <v>0</v>
      </c>
      <c r="Y35" s="44">
        <f t="shared" si="8"/>
        <v>0</v>
      </c>
      <c r="Z35" s="43" t="str">
        <f>IFERROR((SUM(ContinuousAssessment!$AH38:$AK38)/COUNTA(ContinuousAssessment!AH38:AK38))*Guide!$I$4,"")</f>
        <v/>
      </c>
      <c r="AA35" s="44">
        <f>testResults!J34*Guide!$H$4</f>
        <v>0</v>
      </c>
      <c r="AB35" s="44">
        <f t="shared" si="9"/>
        <v>0</v>
      </c>
      <c r="AC35" s="44">
        <f t="shared" si="0"/>
        <v>0</v>
      </c>
    </row>
    <row r="36" spans="1:29">
      <c r="A36" s="43">
        <f>'Students Names'!$A35</f>
        <v>0</v>
      </c>
      <c r="B36" s="43" t="str">
        <f>IFERROR(Guide!$I$4*(SUM(ContinuousAssessment!B39:E39)/COUNTA(ContinuousAssessment!B39:E39)),"")</f>
        <v/>
      </c>
      <c r="C36" s="44">
        <f>Guide!$H$4*testResults!B35</f>
        <v>0</v>
      </c>
      <c r="D36" s="44">
        <f t="shared" si="1"/>
        <v>0</v>
      </c>
      <c r="E36" s="43" t="str">
        <f>IFERROR(Guide!$I$4*(SUM(ContinuousAssessment!$F39:$I39)/COUNTA(ContinuousAssessment!$F39:$I39)),"")</f>
        <v/>
      </c>
      <c r="F36" s="44">
        <f>Guide!$H$4*testResults!C35</f>
        <v>0</v>
      </c>
      <c r="G36" s="44">
        <f t="shared" si="2"/>
        <v>0</v>
      </c>
      <c r="H36" s="43" t="str">
        <f>IFERROR(Guide!$I$4*SUM(ContinuousAssessment!$J39:$M39)/COUNTA(ContinuousAssessment!$J39:$M39),"")</f>
        <v/>
      </c>
      <c r="I36" s="44">
        <f>Guide!$H$4*testResults!D35</f>
        <v>0</v>
      </c>
      <c r="J36" s="44">
        <f t="shared" si="3"/>
        <v>0</v>
      </c>
      <c r="K36" s="43" t="str">
        <f>IFERROR(SUM(ContinuousAssessment!$N39:$Q39)/COUNTA(ContinuousAssessment!$N39:$Q39)*Guide!$I$4,"")</f>
        <v/>
      </c>
      <c r="L36" s="44">
        <f>Guide!$H$4*testResults!$E35</f>
        <v>0</v>
      </c>
      <c r="M36" s="44">
        <f t="shared" si="4"/>
        <v>0</v>
      </c>
      <c r="N36" s="43" t="str">
        <f>IFERROR(Guide!$I$4*(SUM(ContinuousAssessment!$R39:$U39))/COUNTA(ContinuousAssessment!R39:U39),"")</f>
        <v/>
      </c>
      <c r="O36" s="44">
        <f>Guide!$H$4*testResults!F35</f>
        <v>0</v>
      </c>
      <c r="P36" s="44">
        <f t="shared" si="5"/>
        <v>0</v>
      </c>
      <c r="Q36" s="43" t="str">
        <f>IFERROR(Guide!$I$4*(SUM(ContinuousAssessment!$V39:$Y39)/COUNTA(ContinuousAssessment!$V39:$Y39)),"")</f>
        <v/>
      </c>
      <c r="R36" s="44">
        <f>Guide!$H$4*testResults!G35</f>
        <v>0</v>
      </c>
      <c r="S36" s="44">
        <f t="shared" si="6"/>
        <v>0</v>
      </c>
      <c r="T36" s="43" t="str">
        <f>IFERROR(Guide!$I$4*(SUM(ContinuousAssessment!$Z39:$AC39))/COUNTA(ContinuousAssessment!$Z39:$AC39),"")</f>
        <v/>
      </c>
      <c r="U36" s="44">
        <f>Guide!$H$4*testResults!H35</f>
        <v>0</v>
      </c>
      <c r="V36" s="44">
        <f t="shared" si="7"/>
        <v>0</v>
      </c>
      <c r="W36" s="43" t="str">
        <f>IFERROR(((SUM(ContinuousAssessment!$AD39:$AF39))/COUNTA(ContinuousAssessment!$AD39:$AF39))*Guide!$I$4,"")</f>
        <v/>
      </c>
      <c r="X36" s="44">
        <f>Guide!$H$4*testResults!I35</f>
        <v>0</v>
      </c>
      <c r="Y36" s="44">
        <f t="shared" si="8"/>
        <v>0</v>
      </c>
      <c r="Z36" s="43" t="str">
        <f>IFERROR((SUM(ContinuousAssessment!$AH39:$AK39)/COUNTA(ContinuousAssessment!AH39:AK39))*Guide!$I$4,"")</f>
        <v/>
      </c>
      <c r="AA36" s="44">
        <f>testResults!J35*Guide!$H$4</f>
        <v>0</v>
      </c>
      <c r="AB36" s="44">
        <f t="shared" si="9"/>
        <v>0</v>
      </c>
      <c r="AC36" s="44">
        <f t="shared" si="0"/>
        <v>0</v>
      </c>
    </row>
    <row r="37" spans="1:29">
      <c r="A37" s="43">
        <f>'Students Names'!$A36</f>
        <v>0</v>
      </c>
      <c r="B37" s="43" t="str">
        <f>IFERROR(Guide!$I$4*(SUM(ContinuousAssessment!B40:E40)/COUNTA(ContinuousAssessment!B40:E40)),"")</f>
        <v/>
      </c>
      <c r="C37" s="44">
        <f>Guide!$H$4*testResults!B36</f>
        <v>0</v>
      </c>
      <c r="D37" s="44">
        <f t="shared" si="1"/>
        <v>0</v>
      </c>
      <c r="E37" s="43" t="str">
        <f>IFERROR(Guide!$I$4*(SUM(ContinuousAssessment!$F40:$I40)/COUNTA(ContinuousAssessment!$F40:$I40)),"")</f>
        <v/>
      </c>
      <c r="F37" s="44">
        <f>Guide!$H$4*testResults!C36</f>
        <v>0</v>
      </c>
      <c r="G37" s="44">
        <f t="shared" si="2"/>
        <v>0</v>
      </c>
      <c r="H37" s="43" t="str">
        <f>IFERROR(Guide!$I$4*SUM(ContinuousAssessment!$J40:$M40)/COUNTA(ContinuousAssessment!$J40:$M40),"")</f>
        <v/>
      </c>
      <c r="I37" s="44">
        <f>Guide!$H$4*testResults!D36</f>
        <v>0</v>
      </c>
      <c r="J37" s="44">
        <f t="shared" si="3"/>
        <v>0</v>
      </c>
      <c r="K37" s="43" t="str">
        <f>IFERROR(SUM(ContinuousAssessment!$N40:$Q40)/COUNTA(ContinuousAssessment!$N40:$Q40)*Guide!$I$4,"")</f>
        <v/>
      </c>
      <c r="L37" s="44">
        <f>Guide!$H$4*testResults!$E36</f>
        <v>0</v>
      </c>
      <c r="M37" s="44">
        <f t="shared" si="4"/>
        <v>0</v>
      </c>
      <c r="N37" s="43" t="str">
        <f>IFERROR(Guide!$I$4*(SUM(ContinuousAssessment!$R40:$U40))/COUNTA(ContinuousAssessment!R40:U40),"")</f>
        <v/>
      </c>
      <c r="O37" s="44">
        <f>Guide!$H$4*testResults!F36</f>
        <v>0</v>
      </c>
      <c r="P37" s="44">
        <f t="shared" si="5"/>
        <v>0</v>
      </c>
      <c r="Q37" s="43" t="str">
        <f>IFERROR(Guide!$I$4*(SUM(ContinuousAssessment!$V40:$Y40)/COUNTA(ContinuousAssessment!$V40:$Y40)),"")</f>
        <v/>
      </c>
      <c r="R37" s="44">
        <f>Guide!$H$4*testResults!G36</f>
        <v>0</v>
      </c>
      <c r="S37" s="44">
        <f t="shared" si="6"/>
        <v>0</v>
      </c>
      <c r="T37" s="43" t="str">
        <f>IFERROR(Guide!$I$4*(SUM(ContinuousAssessment!$Z40:$AC40))/COUNTA(ContinuousAssessment!$Z40:$AC40),"")</f>
        <v/>
      </c>
      <c r="U37" s="44">
        <f>Guide!$H$4*testResults!H36</f>
        <v>0</v>
      </c>
      <c r="V37" s="44">
        <f t="shared" si="7"/>
        <v>0</v>
      </c>
      <c r="W37" s="43" t="str">
        <f>IFERROR(((SUM(ContinuousAssessment!$AD40:$AF40))/COUNTA(ContinuousAssessment!$AD40:$AF40))*Guide!$I$4,"")</f>
        <v/>
      </c>
      <c r="X37" s="44">
        <f>Guide!$H$4*testResults!I36</f>
        <v>0</v>
      </c>
      <c r="Y37" s="44">
        <f t="shared" si="8"/>
        <v>0</v>
      </c>
      <c r="Z37" s="43" t="str">
        <f>IFERROR((SUM(ContinuousAssessment!$AH40:$AK40)/COUNTA(ContinuousAssessment!AH40:AK40))*Guide!$I$4,"")</f>
        <v/>
      </c>
      <c r="AA37" s="44">
        <f>testResults!J36*Guide!$H$4</f>
        <v>0</v>
      </c>
      <c r="AB37" s="44">
        <f t="shared" si="9"/>
        <v>0</v>
      </c>
      <c r="AC37" s="44">
        <f t="shared" si="0"/>
        <v>0</v>
      </c>
    </row>
    <row r="38" spans="1:29">
      <c r="A38" s="43">
        <f>'Students Names'!$A37</f>
        <v>0</v>
      </c>
      <c r="B38" s="43" t="str">
        <f>IFERROR(Guide!$I$4*(SUM(ContinuousAssessment!B41:E41)/COUNTA(ContinuousAssessment!B41:E41)),"")</f>
        <v/>
      </c>
      <c r="C38" s="44">
        <f>Guide!$H$4*testResults!B37</f>
        <v>0</v>
      </c>
      <c r="D38" s="44">
        <f t="shared" si="1"/>
        <v>0</v>
      </c>
      <c r="E38" s="43" t="str">
        <f>IFERROR(Guide!$I$4*(SUM(ContinuousAssessment!$F41:$I41)/COUNTA(ContinuousAssessment!$F41:$I41)),"")</f>
        <v/>
      </c>
      <c r="F38" s="44">
        <f>Guide!$H$4*testResults!C37</f>
        <v>0</v>
      </c>
      <c r="G38" s="44">
        <f t="shared" si="2"/>
        <v>0</v>
      </c>
      <c r="H38" s="43" t="str">
        <f>IFERROR(Guide!$I$4*SUM(ContinuousAssessment!$J41:$M41)/COUNTA(ContinuousAssessment!$J41:$M41),"")</f>
        <v/>
      </c>
      <c r="I38" s="44">
        <f>Guide!$H$4*testResults!D37</f>
        <v>0</v>
      </c>
      <c r="J38" s="44">
        <f t="shared" si="3"/>
        <v>0</v>
      </c>
      <c r="K38" s="43" t="str">
        <f>IFERROR(SUM(ContinuousAssessment!$N41:$Q41)/COUNTA(ContinuousAssessment!$N41:$Q41)*Guide!$I$4,"")</f>
        <v/>
      </c>
      <c r="L38" s="44">
        <f>Guide!$H$4*testResults!$E37</f>
        <v>0</v>
      </c>
      <c r="M38" s="44">
        <f t="shared" si="4"/>
        <v>0</v>
      </c>
      <c r="N38" s="43" t="str">
        <f>IFERROR(Guide!$I$4*(SUM(ContinuousAssessment!$R41:$U41))/COUNTA(ContinuousAssessment!R41:U41),"")</f>
        <v/>
      </c>
      <c r="O38" s="44">
        <f>Guide!$H$4*testResults!F37</f>
        <v>0</v>
      </c>
      <c r="P38" s="44">
        <f t="shared" si="5"/>
        <v>0</v>
      </c>
      <c r="Q38" s="43" t="str">
        <f>IFERROR(Guide!$I$4*(SUM(ContinuousAssessment!$V41:$Y41)/COUNTA(ContinuousAssessment!$V41:$Y41)),"")</f>
        <v/>
      </c>
      <c r="R38" s="44">
        <f>Guide!$H$4*testResults!G37</f>
        <v>0</v>
      </c>
      <c r="S38" s="44">
        <f t="shared" si="6"/>
        <v>0</v>
      </c>
      <c r="T38" s="43" t="str">
        <f>IFERROR(Guide!$I$4*(SUM(ContinuousAssessment!$Z41:$AC41))/COUNTA(ContinuousAssessment!$Z41:$AC41),"")</f>
        <v/>
      </c>
      <c r="U38" s="44">
        <f>Guide!$H$4*testResults!H37</f>
        <v>0</v>
      </c>
      <c r="V38" s="44">
        <f t="shared" si="7"/>
        <v>0</v>
      </c>
      <c r="W38" s="43" t="str">
        <f>IFERROR(((SUM(ContinuousAssessment!$AD41:$AF41))/COUNTA(ContinuousAssessment!$AD41:$AF41))*Guide!$I$4,"")</f>
        <v/>
      </c>
      <c r="X38" s="44">
        <f>Guide!$H$4*testResults!I37</f>
        <v>0</v>
      </c>
      <c r="Y38" s="44">
        <f t="shared" si="8"/>
        <v>0</v>
      </c>
      <c r="Z38" s="43" t="str">
        <f>IFERROR((SUM(ContinuousAssessment!$AH41:$AK41)/COUNTA(ContinuousAssessment!AH41:AK41))*Guide!$I$4,"")</f>
        <v/>
      </c>
      <c r="AA38" s="44">
        <f>testResults!J37*Guide!$H$4</f>
        <v>0</v>
      </c>
      <c r="AB38" s="44">
        <f t="shared" si="9"/>
        <v>0</v>
      </c>
      <c r="AC38" s="44">
        <f t="shared" si="0"/>
        <v>0</v>
      </c>
    </row>
    <row r="39" spans="1:29">
      <c r="A39" s="43">
        <f>'Students Names'!$A38</f>
        <v>0</v>
      </c>
      <c r="B39" s="43" t="str">
        <f>IFERROR(Guide!$I$4*(SUM(ContinuousAssessment!B42:E42)/COUNTA(ContinuousAssessment!B42:E42)),"")</f>
        <v/>
      </c>
      <c r="C39" s="44">
        <f>Guide!$H$4*testResults!B38</f>
        <v>0</v>
      </c>
      <c r="D39" s="44">
        <f t="shared" si="1"/>
        <v>0</v>
      </c>
      <c r="E39" s="43" t="str">
        <f>IFERROR(Guide!$I$4*(SUM(ContinuousAssessment!$F42:$I42)/COUNTA(ContinuousAssessment!$F42:$I42)),"")</f>
        <v/>
      </c>
      <c r="F39" s="44">
        <f>Guide!$H$4*testResults!C38</f>
        <v>0</v>
      </c>
      <c r="G39" s="44">
        <f t="shared" si="2"/>
        <v>0</v>
      </c>
      <c r="H39" s="43" t="str">
        <f>IFERROR(Guide!$I$4*SUM(ContinuousAssessment!$J42:$M42)/COUNTA(ContinuousAssessment!$J42:$M42),"")</f>
        <v/>
      </c>
      <c r="I39" s="44">
        <f>Guide!$H$4*testResults!D38</f>
        <v>0</v>
      </c>
      <c r="J39" s="44">
        <f t="shared" si="3"/>
        <v>0</v>
      </c>
      <c r="K39" s="43" t="str">
        <f>IFERROR(SUM(ContinuousAssessment!$N42:$Q42)/COUNTA(ContinuousAssessment!$N42:$Q42)*Guide!$I$4,"")</f>
        <v/>
      </c>
      <c r="L39" s="44">
        <f>Guide!$H$4*testResults!$E38</f>
        <v>0</v>
      </c>
      <c r="M39" s="44">
        <f t="shared" si="4"/>
        <v>0</v>
      </c>
      <c r="N39" s="43" t="str">
        <f>IFERROR(Guide!$I$4*(SUM(ContinuousAssessment!$R42:$U42))/COUNTA(ContinuousAssessment!R42:U42),"")</f>
        <v/>
      </c>
      <c r="O39" s="44">
        <f>Guide!$H$4*testResults!F38</f>
        <v>0</v>
      </c>
      <c r="P39" s="44">
        <f t="shared" si="5"/>
        <v>0</v>
      </c>
      <c r="Q39" s="43" t="str">
        <f>IFERROR(Guide!$I$4*(SUM(ContinuousAssessment!$V42:$Y42)/COUNTA(ContinuousAssessment!$V42:$Y42)),"")</f>
        <v/>
      </c>
      <c r="R39" s="44">
        <f>Guide!$H$4*testResults!G38</f>
        <v>0</v>
      </c>
      <c r="S39" s="44">
        <f t="shared" si="6"/>
        <v>0</v>
      </c>
      <c r="T39" s="43" t="str">
        <f>IFERROR(Guide!$I$4*(SUM(ContinuousAssessment!$Z42:$AC42))/COUNTA(ContinuousAssessment!$Z42:$AC42),"")</f>
        <v/>
      </c>
      <c r="U39" s="44">
        <f>Guide!$H$4*testResults!H38</f>
        <v>0</v>
      </c>
      <c r="V39" s="44">
        <f t="shared" si="7"/>
        <v>0</v>
      </c>
      <c r="W39" s="43" t="str">
        <f>IFERROR(((SUM(ContinuousAssessment!$AD42:$AF42))/COUNTA(ContinuousAssessment!$AD42:$AF42))*Guide!$I$4,"")</f>
        <v/>
      </c>
      <c r="X39" s="44">
        <f>Guide!$H$4*testResults!I38</f>
        <v>0</v>
      </c>
      <c r="Y39" s="44">
        <f t="shared" si="8"/>
        <v>0</v>
      </c>
      <c r="Z39" s="43" t="str">
        <f>IFERROR((SUM(ContinuousAssessment!$AH42:$AK42)/COUNTA(ContinuousAssessment!AH42:AK42))*Guide!$I$4,"")</f>
        <v/>
      </c>
      <c r="AA39" s="44">
        <f>testResults!J38*Guide!$H$4</f>
        <v>0</v>
      </c>
      <c r="AB39" s="44">
        <f t="shared" si="9"/>
        <v>0</v>
      </c>
      <c r="AC39" s="44">
        <f t="shared" si="0"/>
        <v>0</v>
      </c>
    </row>
    <row r="40" spans="1:29">
      <c r="A40" s="43">
        <f>'Students Names'!$A39</f>
        <v>0</v>
      </c>
      <c r="B40" s="43" t="str">
        <f>IFERROR(Guide!$I$4*(SUM(ContinuousAssessment!B43:E43)/COUNTA(ContinuousAssessment!B43:E43)),"")</f>
        <v/>
      </c>
      <c r="C40" s="44">
        <f>Guide!$H$4*testResults!B39</f>
        <v>0</v>
      </c>
      <c r="D40" s="44">
        <f t="shared" si="1"/>
        <v>0</v>
      </c>
      <c r="E40" s="43" t="str">
        <f>IFERROR(Guide!$I$4*(SUM(ContinuousAssessment!$F43:$I43)/COUNTA(ContinuousAssessment!$F43:$I43)),"")</f>
        <v/>
      </c>
      <c r="F40" s="44">
        <f>Guide!$H$4*testResults!C39</f>
        <v>0</v>
      </c>
      <c r="G40" s="44">
        <f t="shared" si="2"/>
        <v>0</v>
      </c>
      <c r="H40" s="43" t="str">
        <f>IFERROR(Guide!$I$4*SUM(ContinuousAssessment!$J43:$M43)/COUNTA(ContinuousAssessment!$J43:$M43),"")</f>
        <v/>
      </c>
      <c r="I40" s="44">
        <f>Guide!$H$4*testResults!D39</f>
        <v>0</v>
      </c>
      <c r="J40" s="44">
        <f t="shared" si="3"/>
        <v>0</v>
      </c>
      <c r="K40" s="43" t="str">
        <f>IFERROR(SUM(ContinuousAssessment!$N43:$Q43)/COUNTA(ContinuousAssessment!$N43:$Q43)*Guide!$I$4,"")</f>
        <v/>
      </c>
      <c r="L40" s="44">
        <f>Guide!$H$4*testResults!$E39</f>
        <v>0</v>
      </c>
      <c r="M40" s="44">
        <f t="shared" si="4"/>
        <v>0</v>
      </c>
      <c r="N40" s="43" t="str">
        <f>IFERROR(Guide!$I$4*(SUM(ContinuousAssessment!$R43:$U43))/COUNTA(ContinuousAssessment!R43:U43),"")</f>
        <v/>
      </c>
      <c r="O40" s="44">
        <f>Guide!$H$4*testResults!F39</f>
        <v>0</v>
      </c>
      <c r="P40" s="44">
        <f t="shared" si="5"/>
        <v>0</v>
      </c>
      <c r="Q40" s="43" t="str">
        <f>IFERROR(Guide!$I$4*(SUM(ContinuousAssessment!$V43:$Y43)/COUNTA(ContinuousAssessment!$V43:$Y43)),"")</f>
        <v/>
      </c>
      <c r="R40" s="44">
        <f>Guide!$H$4*testResults!G39</f>
        <v>0</v>
      </c>
      <c r="S40" s="44">
        <f t="shared" si="6"/>
        <v>0</v>
      </c>
      <c r="T40" s="43" t="str">
        <f>IFERROR(Guide!$I$4*(SUM(ContinuousAssessment!$Z43:$AC43))/COUNTA(ContinuousAssessment!$Z43:$AC43),"")</f>
        <v/>
      </c>
      <c r="U40" s="44">
        <f>Guide!$H$4*testResults!H39</f>
        <v>0</v>
      </c>
      <c r="V40" s="44">
        <f t="shared" si="7"/>
        <v>0</v>
      </c>
      <c r="W40" s="43" t="str">
        <f>IFERROR(((SUM(ContinuousAssessment!$AD43:$AF43))/COUNTA(ContinuousAssessment!$AD43:$AF43))*Guide!$I$4,"")</f>
        <v/>
      </c>
      <c r="X40" s="44">
        <f>Guide!$H$4*testResults!I39</f>
        <v>0</v>
      </c>
      <c r="Y40" s="44">
        <f t="shared" si="8"/>
        <v>0</v>
      </c>
      <c r="Z40" s="43" t="str">
        <f>IFERROR((SUM(ContinuousAssessment!$AH43:$AK43)/COUNTA(ContinuousAssessment!AH43:AK43))*Guide!$I$4,"")</f>
        <v/>
      </c>
      <c r="AA40" s="44">
        <f>testResults!J39*Guide!$H$4</f>
        <v>0</v>
      </c>
      <c r="AB40" s="44">
        <f t="shared" si="9"/>
        <v>0</v>
      </c>
      <c r="AC40" s="44">
        <f t="shared" si="0"/>
        <v>0</v>
      </c>
    </row>
    <row r="41" spans="1:29">
      <c r="A41" s="43">
        <f>'Students Names'!$A40</f>
        <v>0</v>
      </c>
      <c r="B41" s="43" t="str">
        <f>IFERROR(Guide!$I$4*(SUM(ContinuousAssessment!B44:E44)/COUNTA(ContinuousAssessment!B44:E44)),"")</f>
        <v/>
      </c>
      <c r="C41" s="44">
        <f>Guide!$H$4*testResults!B40</f>
        <v>0</v>
      </c>
      <c r="D41" s="44">
        <f t="shared" si="1"/>
        <v>0</v>
      </c>
      <c r="E41" s="43" t="str">
        <f>IFERROR(Guide!$I$4*(SUM(ContinuousAssessment!$F44:$I44)/COUNTA(ContinuousAssessment!$F44:$I44)),"")</f>
        <v/>
      </c>
      <c r="F41" s="44">
        <f>Guide!$H$4*testResults!C40</f>
        <v>0</v>
      </c>
      <c r="G41" s="44">
        <f t="shared" si="2"/>
        <v>0</v>
      </c>
      <c r="H41" s="43" t="str">
        <f>IFERROR(Guide!$I$4*SUM(ContinuousAssessment!$J44:$M44)/COUNTA(ContinuousAssessment!$J44:$M44),"")</f>
        <v/>
      </c>
      <c r="I41" s="44">
        <f>Guide!$H$4*testResults!D40</f>
        <v>0</v>
      </c>
      <c r="J41" s="44">
        <f t="shared" si="3"/>
        <v>0</v>
      </c>
      <c r="K41" s="43" t="str">
        <f>IFERROR(SUM(ContinuousAssessment!$N44:$Q44)/COUNTA(ContinuousAssessment!$N44:$Q44)*Guide!$I$4,"")</f>
        <v/>
      </c>
      <c r="L41" s="44">
        <f>Guide!$H$4*testResults!$E40</f>
        <v>0</v>
      </c>
      <c r="M41" s="44">
        <f t="shared" si="4"/>
        <v>0</v>
      </c>
      <c r="N41" s="43" t="str">
        <f>IFERROR(Guide!$I$4*(SUM(ContinuousAssessment!$R44:$U44))/COUNTA(ContinuousAssessment!R44:U44),"")</f>
        <v/>
      </c>
      <c r="O41" s="44">
        <f>Guide!$H$4*testResults!F40</f>
        <v>0</v>
      </c>
      <c r="P41" s="44">
        <f t="shared" si="5"/>
        <v>0</v>
      </c>
      <c r="Q41" s="43" t="str">
        <f>IFERROR(Guide!$I$4*(SUM(ContinuousAssessment!$V44:$Y44)/COUNTA(ContinuousAssessment!$V44:$Y44)),"")</f>
        <v/>
      </c>
      <c r="R41" s="44">
        <f>Guide!$H$4*testResults!G40</f>
        <v>0</v>
      </c>
      <c r="S41" s="44">
        <f t="shared" si="6"/>
        <v>0</v>
      </c>
      <c r="T41" s="43" t="str">
        <f>IFERROR(Guide!$I$4*(SUM(ContinuousAssessment!$Z44:$AC44))/COUNTA(ContinuousAssessment!$Z44:$AC44),"")</f>
        <v/>
      </c>
      <c r="U41" s="44">
        <f>Guide!$H$4*testResults!H40</f>
        <v>0</v>
      </c>
      <c r="V41" s="44">
        <f t="shared" si="7"/>
        <v>0</v>
      </c>
      <c r="W41" s="43" t="str">
        <f>IFERROR(((SUM(ContinuousAssessment!$AD44:$AF44))/COUNTA(ContinuousAssessment!$AD44:$AF44))*Guide!$I$4,"")</f>
        <v/>
      </c>
      <c r="X41" s="44">
        <f>Guide!$H$4*testResults!I40</f>
        <v>0</v>
      </c>
      <c r="Y41" s="44">
        <f t="shared" si="8"/>
        <v>0</v>
      </c>
      <c r="Z41" s="43" t="str">
        <f>IFERROR((SUM(ContinuousAssessment!$AH44:$AK44)/COUNTA(ContinuousAssessment!AH44:AK44))*Guide!$I$4,"")</f>
        <v/>
      </c>
      <c r="AA41" s="44">
        <f>testResults!J40*Guide!$H$4</f>
        <v>0</v>
      </c>
      <c r="AB41" s="44">
        <f t="shared" si="9"/>
        <v>0</v>
      </c>
      <c r="AC41" s="44">
        <f t="shared" si="0"/>
        <v>0</v>
      </c>
    </row>
    <row r="42" spans="1:29">
      <c r="A42" s="43">
        <f>'Students Names'!$A41</f>
        <v>0</v>
      </c>
      <c r="B42" s="43" t="str">
        <f>IFERROR(Guide!$I$4*(SUM(ContinuousAssessment!B45:E45)/COUNTA(ContinuousAssessment!B45:E45)),"")</f>
        <v/>
      </c>
      <c r="C42" s="44">
        <f>Guide!$H$4*testResults!B41</f>
        <v>0</v>
      </c>
      <c r="D42" s="44">
        <f t="shared" si="1"/>
        <v>0</v>
      </c>
      <c r="E42" s="43" t="str">
        <f>IFERROR(Guide!$I$4*(SUM(ContinuousAssessment!$F45:$I45)/COUNTA(ContinuousAssessment!$F45:$I45)),"")</f>
        <v/>
      </c>
      <c r="F42" s="44">
        <f>Guide!$H$4*testResults!C41</f>
        <v>0</v>
      </c>
      <c r="G42" s="44">
        <f t="shared" si="2"/>
        <v>0</v>
      </c>
      <c r="H42" s="43" t="str">
        <f>IFERROR(Guide!$I$4*SUM(ContinuousAssessment!$J45:$M45)/COUNTA(ContinuousAssessment!$J45:$M45),"")</f>
        <v/>
      </c>
      <c r="I42" s="44">
        <f>Guide!$H$4*testResults!D41</f>
        <v>0</v>
      </c>
      <c r="J42" s="44">
        <f t="shared" si="3"/>
        <v>0</v>
      </c>
      <c r="K42" s="43" t="str">
        <f>IFERROR(SUM(ContinuousAssessment!$N45:$Q45)/COUNTA(ContinuousAssessment!$N45:$Q45)*Guide!$I$4,"")</f>
        <v/>
      </c>
      <c r="L42" s="44">
        <f>Guide!$H$4*testResults!$E41</f>
        <v>0</v>
      </c>
      <c r="M42" s="44">
        <f t="shared" si="4"/>
        <v>0</v>
      </c>
      <c r="N42" s="43" t="str">
        <f>IFERROR(Guide!$I$4*(SUM(ContinuousAssessment!$R45:$U45))/COUNTA(ContinuousAssessment!R45:U45),"")</f>
        <v/>
      </c>
      <c r="O42" s="44">
        <f>Guide!$H$4*testResults!F41</f>
        <v>0</v>
      </c>
      <c r="P42" s="44">
        <f t="shared" si="5"/>
        <v>0</v>
      </c>
      <c r="Q42" s="43" t="str">
        <f>IFERROR(Guide!$I$4*(SUM(ContinuousAssessment!$V45:$Y45)/COUNTA(ContinuousAssessment!$V45:$Y45)),"")</f>
        <v/>
      </c>
      <c r="R42" s="44">
        <f>Guide!$H$4*testResults!G41</f>
        <v>0</v>
      </c>
      <c r="S42" s="44">
        <f t="shared" si="6"/>
        <v>0</v>
      </c>
      <c r="T42" s="43" t="str">
        <f>IFERROR(Guide!$I$4*(SUM(ContinuousAssessment!$Z45:$AC45))/COUNTA(ContinuousAssessment!$Z45:$AC45),"")</f>
        <v/>
      </c>
      <c r="U42" s="44">
        <f>Guide!$H$4*testResults!H41</f>
        <v>0</v>
      </c>
      <c r="V42" s="44">
        <f t="shared" si="7"/>
        <v>0</v>
      </c>
      <c r="W42" s="43" t="str">
        <f>IFERROR(((SUM(ContinuousAssessment!$AD45:$AF45))/COUNTA(ContinuousAssessment!$AD45:$AF45))*Guide!$I$4,"")</f>
        <v/>
      </c>
      <c r="X42" s="44">
        <f>Guide!$H$4*testResults!I41</f>
        <v>0</v>
      </c>
      <c r="Y42" s="44">
        <f t="shared" si="8"/>
        <v>0</v>
      </c>
      <c r="Z42" s="43" t="str">
        <f>IFERROR((SUM(ContinuousAssessment!$AH45:$AK45)/COUNTA(ContinuousAssessment!AH45:AK45))*Guide!$I$4,"")</f>
        <v/>
      </c>
      <c r="AA42" s="44">
        <f>testResults!J41*Guide!$H$4</f>
        <v>0</v>
      </c>
      <c r="AB42" s="44">
        <f t="shared" si="9"/>
        <v>0</v>
      </c>
      <c r="AC42" s="44">
        <f t="shared" si="0"/>
        <v>0</v>
      </c>
    </row>
    <row r="43" spans="1:29">
      <c r="A43" s="43">
        <f>'Students Names'!$A42</f>
        <v>0</v>
      </c>
      <c r="B43" s="43" t="str">
        <f>IFERROR(Guide!$I$4*(SUM(ContinuousAssessment!B46:E46)/COUNTA(ContinuousAssessment!B46:E46)),"")</f>
        <v/>
      </c>
      <c r="C43" s="44">
        <f>Guide!$H$4*testResults!B42</f>
        <v>0</v>
      </c>
      <c r="D43" s="44">
        <f t="shared" si="1"/>
        <v>0</v>
      </c>
      <c r="E43" s="43" t="str">
        <f>IFERROR(Guide!$I$4*(SUM(ContinuousAssessment!$F46:$I46)/COUNTA(ContinuousAssessment!$F46:$I46)),"")</f>
        <v/>
      </c>
      <c r="F43" s="44">
        <f>Guide!$H$4*testResults!C42</f>
        <v>0</v>
      </c>
      <c r="G43" s="44">
        <f t="shared" si="2"/>
        <v>0</v>
      </c>
      <c r="H43" s="43" t="str">
        <f>IFERROR(Guide!$I$4*SUM(ContinuousAssessment!$J46:$M46)/COUNTA(ContinuousAssessment!$J46:$M46),"")</f>
        <v/>
      </c>
      <c r="I43" s="44">
        <f>Guide!$H$4*testResults!D42</f>
        <v>0</v>
      </c>
      <c r="J43" s="44">
        <f t="shared" si="3"/>
        <v>0</v>
      </c>
      <c r="K43" s="43" t="str">
        <f>IFERROR(SUM(ContinuousAssessment!$N46:$Q46)/COUNTA(ContinuousAssessment!$N46:$Q46)*Guide!$I$4,"")</f>
        <v/>
      </c>
      <c r="L43" s="44">
        <f>Guide!$H$4*testResults!$E42</f>
        <v>0</v>
      </c>
      <c r="M43" s="44">
        <f t="shared" si="4"/>
        <v>0</v>
      </c>
      <c r="N43" s="43" t="str">
        <f>IFERROR(Guide!$I$4*(SUM(ContinuousAssessment!$R46:$U46))/COUNTA(ContinuousAssessment!R46:U46),"")</f>
        <v/>
      </c>
      <c r="O43" s="44">
        <f>Guide!$H$4*testResults!F42</f>
        <v>0</v>
      </c>
      <c r="P43" s="44">
        <f t="shared" si="5"/>
        <v>0</v>
      </c>
      <c r="Q43" s="43" t="str">
        <f>IFERROR(Guide!$I$4*(SUM(ContinuousAssessment!$V46:$Y46)/COUNTA(ContinuousAssessment!$V46:$Y46)),"")</f>
        <v/>
      </c>
      <c r="R43" s="44">
        <f>Guide!$H$4*testResults!G42</f>
        <v>0</v>
      </c>
      <c r="S43" s="44">
        <f t="shared" si="6"/>
        <v>0</v>
      </c>
      <c r="T43" s="43" t="str">
        <f>IFERROR(Guide!$I$4*(SUM(ContinuousAssessment!$Z46:$AC46))/COUNTA(ContinuousAssessment!$Z46:$AC46),"")</f>
        <v/>
      </c>
      <c r="U43" s="44">
        <f>Guide!$H$4*testResults!H42</f>
        <v>0</v>
      </c>
      <c r="V43" s="44">
        <f t="shared" si="7"/>
        <v>0</v>
      </c>
      <c r="W43" s="43" t="str">
        <f>IFERROR(((SUM(ContinuousAssessment!$AD46:$AF46))/COUNTA(ContinuousAssessment!$AD46:$AF46))*Guide!$I$4,"")</f>
        <v/>
      </c>
      <c r="X43" s="44">
        <f>Guide!$H$4*testResults!I42</f>
        <v>0</v>
      </c>
      <c r="Y43" s="44">
        <f t="shared" si="8"/>
        <v>0</v>
      </c>
      <c r="Z43" s="43" t="str">
        <f>IFERROR((SUM(ContinuousAssessment!$AH46:$AK46)/COUNTA(ContinuousAssessment!AH46:AK46))*Guide!$I$4,"")</f>
        <v/>
      </c>
      <c r="AA43" s="44">
        <f>testResults!J42*Guide!$H$4</f>
        <v>0</v>
      </c>
      <c r="AB43" s="44">
        <f t="shared" si="9"/>
        <v>0</v>
      </c>
      <c r="AC43" s="44">
        <f t="shared" si="0"/>
        <v>0</v>
      </c>
    </row>
    <row r="44" spans="1:29">
      <c r="A44" s="43">
        <f>'Students Names'!$A43</f>
        <v>0</v>
      </c>
      <c r="B44" s="43" t="str">
        <f>IFERROR(Guide!$I$4*(SUM(ContinuousAssessment!B47:E47)/COUNTA(ContinuousAssessment!B47:E47)),"")</f>
        <v/>
      </c>
      <c r="C44" s="44">
        <f>Guide!$H$4*testResults!B43</f>
        <v>0</v>
      </c>
      <c r="D44" s="44">
        <f t="shared" si="1"/>
        <v>0</v>
      </c>
      <c r="E44" s="43" t="str">
        <f>IFERROR(Guide!$I$4*(SUM(ContinuousAssessment!$F47:$I47)/COUNTA(ContinuousAssessment!$F47:$I47)),"")</f>
        <v/>
      </c>
      <c r="F44" s="44">
        <f>Guide!$H$4*testResults!C43</f>
        <v>0</v>
      </c>
      <c r="G44" s="44">
        <f t="shared" si="2"/>
        <v>0</v>
      </c>
      <c r="H44" s="43" t="str">
        <f>IFERROR(Guide!$I$4*SUM(ContinuousAssessment!$J47:$M47)/COUNTA(ContinuousAssessment!$J47:$M47),"")</f>
        <v/>
      </c>
      <c r="I44" s="44">
        <f>Guide!$H$4*testResults!D43</f>
        <v>0</v>
      </c>
      <c r="J44" s="44">
        <f t="shared" si="3"/>
        <v>0</v>
      </c>
      <c r="K44" s="43" t="str">
        <f>IFERROR(SUM(ContinuousAssessment!$N47:$Q47)/COUNTA(ContinuousAssessment!$N47:$Q47)*Guide!$I$4,"")</f>
        <v/>
      </c>
      <c r="L44" s="44">
        <f>Guide!$H$4*testResults!$E43</f>
        <v>0</v>
      </c>
      <c r="M44" s="44">
        <f t="shared" si="4"/>
        <v>0</v>
      </c>
      <c r="N44" s="43" t="str">
        <f>IFERROR(Guide!$I$4*(SUM(ContinuousAssessment!$R47:$U47))/COUNTA(ContinuousAssessment!R47:U47),"")</f>
        <v/>
      </c>
      <c r="O44" s="44">
        <f>Guide!$H$4*testResults!F43</f>
        <v>0</v>
      </c>
      <c r="P44" s="44">
        <f t="shared" si="5"/>
        <v>0</v>
      </c>
      <c r="Q44" s="43" t="str">
        <f>IFERROR(Guide!$I$4*(SUM(ContinuousAssessment!$V47:$Y47)/COUNTA(ContinuousAssessment!$V47:$Y47)),"")</f>
        <v/>
      </c>
      <c r="R44" s="44">
        <f>Guide!$H$4*testResults!G43</f>
        <v>0</v>
      </c>
      <c r="S44" s="44">
        <f t="shared" si="6"/>
        <v>0</v>
      </c>
      <c r="T44" s="43" t="str">
        <f>IFERROR(Guide!$I$4*(SUM(ContinuousAssessment!$Z47:$AC47))/COUNTA(ContinuousAssessment!$Z47:$AC47),"")</f>
        <v/>
      </c>
      <c r="U44" s="44">
        <f>Guide!$H$4*testResults!H43</f>
        <v>0</v>
      </c>
      <c r="V44" s="44">
        <f t="shared" si="7"/>
        <v>0</v>
      </c>
      <c r="W44" s="43" t="str">
        <f>IFERROR(((SUM(ContinuousAssessment!$AD47:$AF47))/COUNTA(ContinuousAssessment!$AD47:$AF47))*Guide!$I$4,"")</f>
        <v/>
      </c>
      <c r="X44" s="44">
        <f>Guide!$H$4*testResults!I43</f>
        <v>0</v>
      </c>
      <c r="Y44" s="44">
        <f t="shared" si="8"/>
        <v>0</v>
      </c>
      <c r="Z44" s="43" t="str">
        <f>IFERROR((SUM(ContinuousAssessment!$AH47:$AK47)/COUNTA(ContinuousAssessment!AH47:AK47))*Guide!$I$4,"")</f>
        <v/>
      </c>
      <c r="AA44" s="44">
        <f>testResults!J43*Guide!$H$4</f>
        <v>0</v>
      </c>
      <c r="AB44" s="44">
        <f t="shared" si="9"/>
        <v>0</v>
      </c>
      <c r="AC44" s="44">
        <f t="shared" si="0"/>
        <v>0</v>
      </c>
    </row>
    <row r="45" spans="1:29">
      <c r="A45" s="43">
        <f>'Students Names'!$A44</f>
        <v>0</v>
      </c>
      <c r="B45" s="43" t="str">
        <f>IFERROR(Guide!$I$4*(SUM(ContinuousAssessment!B48:E48)/COUNTA(ContinuousAssessment!B48:E48)),"")</f>
        <v/>
      </c>
      <c r="C45" s="44">
        <f>Guide!$H$4*testResults!B44</f>
        <v>0</v>
      </c>
      <c r="D45" s="44">
        <f t="shared" si="1"/>
        <v>0</v>
      </c>
      <c r="E45" s="43" t="str">
        <f>IFERROR(Guide!$I$4*(SUM(ContinuousAssessment!$F48:$I48)/COUNTA(ContinuousAssessment!$F48:$I48)),"")</f>
        <v/>
      </c>
      <c r="F45" s="44">
        <f>Guide!$H$4*testResults!C44</f>
        <v>0</v>
      </c>
      <c r="G45" s="44">
        <f t="shared" si="2"/>
        <v>0</v>
      </c>
      <c r="H45" s="43" t="str">
        <f>IFERROR(Guide!$I$4*SUM(ContinuousAssessment!$J48:$M48)/COUNTA(ContinuousAssessment!$J48:$M48),"")</f>
        <v/>
      </c>
      <c r="I45" s="44">
        <f>Guide!$H$4*testResults!D44</f>
        <v>0</v>
      </c>
      <c r="J45" s="44">
        <f t="shared" si="3"/>
        <v>0</v>
      </c>
      <c r="K45" s="43" t="str">
        <f>IFERROR(SUM(ContinuousAssessment!$N48:$Q48)/COUNTA(ContinuousAssessment!$N48:$Q48)*Guide!$I$4,"")</f>
        <v/>
      </c>
      <c r="L45" s="44">
        <f>Guide!$H$4*testResults!$E44</f>
        <v>0</v>
      </c>
      <c r="M45" s="44">
        <f t="shared" si="4"/>
        <v>0</v>
      </c>
      <c r="N45" s="43" t="str">
        <f>IFERROR(Guide!$I$4*(SUM(ContinuousAssessment!$R48:$U48))/COUNTA(ContinuousAssessment!R48:U48),"")</f>
        <v/>
      </c>
      <c r="O45" s="44">
        <f>Guide!$H$4*testResults!F44</f>
        <v>0</v>
      </c>
      <c r="P45" s="44">
        <f t="shared" si="5"/>
        <v>0</v>
      </c>
      <c r="Q45" s="43" t="str">
        <f>IFERROR(Guide!$I$4*(SUM(ContinuousAssessment!$V48:$Y48)/COUNTA(ContinuousAssessment!$V48:$Y48)),"")</f>
        <v/>
      </c>
      <c r="R45" s="44">
        <f>Guide!$H$4*testResults!G44</f>
        <v>0</v>
      </c>
      <c r="S45" s="44">
        <f t="shared" si="6"/>
        <v>0</v>
      </c>
      <c r="T45" s="43" t="str">
        <f>IFERROR(Guide!$I$4*(SUM(ContinuousAssessment!$Z48:$AC48))/COUNTA(ContinuousAssessment!$Z48:$AC48),"")</f>
        <v/>
      </c>
      <c r="U45" s="44">
        <f>Guide!$H$4*testResults!H44</f>
        <v>0</v>
      </c>
      <c r="V45" s="44">
        <f t="shared" si="7"/>
        <v>0</v>
      </c>
      <c r="W45" s="43" t="str">
        <f>IFERROR(((SUM(ContinuousAssessment!$AD48:$AF48))/COUNTA(ContinuousAssessment!$AD48:$AF48))*Guide!$I$4,"")</f>
        <v/>
      </c>
      <c r="X45" s="44">
        <f>Guide!$H$4*testResults!I44</f>
        <v>0</v>
      </c>
      <c r="Y45" s="44">
        <f t="shared" si="8"/>
        <v>0</v>
      </c>
      <c r="Z45" s="43" t="str">
        <f>IFERROR((SUM(ContinuousAssessment!$AH48:$AK48)/COUNTA(ContinuousAssessment!AH48:AK48))*Guide!$I$4,"")</f>
        <v/>
      </c>
      <c r="AA45" s="44">
        <f>testResults!J44*Guide!$H$4</f>
        <v>0</v>
      </c>
      <c r="AB45" s="44">
        <f t="shared" si="9"/>
        <v>0</v>
      </c>
      <c r="AC45" s="44">
        <f t="shared" si="0"/>
        <v>0</v>
      </c>
    </row>
    <row r="46" spans="1:29">
      <c r="A46" s="43">
        <f>'Students Names'!$A45</f>
        <v>0</v>
      </c>
      <c r="B46" s="43" t="str">
        <f>IFERROR(Guide!$I$4*(SUM(ContinuousAssessment!B49:E49)/COUNTA(ContinuousAssessment!B49:E49)),"")</f>
        <v/>
      </c>
      <c r="C46" s="44">
        <f>Guide!$H$4*testResults!B45</f>
        <v>0</v>
      </c>
      <c r="D46" s="44">
        <f t="shared" si="1"/>
        <v>0</v>
      </c>
      <c r="E46" s="43" t="str">
        <f>IFERROR(Guide!$I$4*(SUM(ContinuousAssessment!$F49:$I49)/COUNTA(ContinuousAssessment!$F49:$I49)),"")</f>
        <v/>
      </c>
      <c r="F46" s="44">
        <f>Guide!$H$4*testResults!C45</f>
        <v>0</v>
      </c>
      <c r="G46" s="44">
        <f t="shared" si="2"/>
        <v>0</v>
      </c>
      <c r="H46" s="43" t="str">
        <f>IFERROR(Guide!$I$4*SUM(ContinuousAssessment!$J49:$M49)/COUNTA(ContinuousAssessment!$J49:$M49),"")</f>
        <v/>
      </c>
      <c r="I46" s="44">
        <f>Guide!$H$4*testResults!D45</f>
        <v>0</v>
      </c>
      <c r="J46" s="44">
        <f t="shared" si="3"/>
        <v>0</v>
      </c>
      <c r="K46" s="43" t="str">
        <f>IFERROR(SUM(ContinuousAssessment!$N49:$Q49)/COUNTA(ContinuousAssessment!$N49:$Q49)*Guide!$I$4,"")</f>
        <v/>
      </c>
      <c r="L46" s="44">
        <f>Guide!$H$4*testResults!$E45</f>
        <v>0</v>
      </c>
      <c r="M46" s="44">
        <f t="shared" si="4"/>
        <v>0</v>
      </c>
      <c r="N46" s="43" t="str">
        <f>IFERROR(Guide!$I$4*(SUM(ContinuousAssessment!$R49:$U49))/COUNTA(ContinuousAssessment!R49:U49),"")</f>
        <v/>
      </c>
      <c r="O46" s="44">
        <f>Guide!$H$4*testResults!F45</f>
        <v>0</v>
      </c>
      <c r="P46" s="44">
        <f t="shared" si="5"/>
        <v>0</v>
      </c>
      <c r="Q46" s="43" t="str">
        <f>IFERROR(Guide!$I$4*(SUM(ContinuousAssessment!$V49:$Y49)/COUNTA(ContinuousAssessment!$V49:$Y49)),"")</f>
        <v/>
      </c>
      <c r="R46" s="44">
        <f>Guide!$H$4*testResults!G45</f>
        <v>0</v>
      </c>
      <c r="S46" s="44">
        <f t="shared" si="6"/>
        <v>0</v>
      </c>
      <c r="T46" s="43" t="str">
        <f>IFERROR(Guide!$I$4*(SUM(ContinuousAssessment!$Z49:$AC49))/COUNTA(ContinuousAssessment!$Z49:$AC49),"")</f>
        <v/>
      </c>
      <c r="U46" s="44">
        <f>Guide!$H$4*testResults!H45</f>
        <v>0</v>
      </c>
      <c r="V46" s="44">
        <f t="shared" si="7"/>
        <v>0</v>
      </c>
      <c r="W46" s="43" t="str">
        <f>IFERROR(((SUM(ContinuousAssessment!$AD49:$AF49))/COUNTA(ContinuousAssessment!$AD49:$AF49))*Guide!$I$4,"")</f>
        <v/>
      </c>
      <c r="X46" s="44">
        <f>Guide!$H$4*testResults!I45</f>
        <v>0</v>
      </c>
      <c r="Y46" s="44">
        <f t="shared" si="8"/>
        <v>0</v>
      </c>
      <c r="Z46" s="43" t="str">
        <f>IFERROR((SUM(ContinuousAssessment!$AH49:$AK49)/COUNTA(ContinuousAssessment!AH49:AK49))*Guide!$I$4,"")</f>
        <v/>
      </c>
      <c r="AA46" s="44">
        <f>testResults!J45*Guide!$H$4</f>
        <v>0</v>
      </c>
      <c r="AB46" s="44">
        <f t="shared" si="9"/>
        <v>0</v>
      </c>
      <c r="AC46" s="44">
        <f t="shared" si="0"/>
        <v>0</v>
      </c>
    </row>
    <row r="47" spans="1:29">
      <c r="A47" s="43">
        <f>'Students Names'!$A46</f>
        <v>0</v>
      </c>
      <c r="B47" s="43" t="str">
        <f>IFERROR(Guide!$I$4*(SUM(ContinuousAssessment!B50:E50)/COUNTA(ContinuousAssessment!B50:E50)),"")</f>
        <v/>
      </c>
      <c r="C47" s="44">
        <f>Guide!$H$4*testResults!B46</f>
        <v>0</v>
      </c>
      <c r="D47" s="44">
        <f t="shared" si="1"/>
        <v>0</v>
      </c>
      <c r="E47" s="43" t="str">
        <f>IFERROR(Guide!$I$4*(SUM(ContinuousAssessment!$F50:$I50)/COUNTA(ContinuousAssessment!$F50:$I50)),"")</f>
        <v/>
      </c>
      <c r="F47" s="44">
        <f>Guide!$H$4*testResults!C46</f>
        <v>0</v>
      </c>
      <c r="G47" s="44">
        <f t="shared" si="2"/>
        <v>0</v>
      </c>
      <c r="H47" s="43" t="str">
        <f>IFERROR(Guide!$I$4*SUM(ContinuousAssessment!$J50:$M50)/COUNTA(ContinuousAssessment!$J50:$M50),"")</f>
        <v/>
      </c>
      <c r="I47" s="44">
        <f>Guide!$H$4*testResults!D46</f>
        <v>0</v>
      </c>
      <c r="J47" s="44">
        <f t="shared" si="3"/>
        <v>0</v>
      </c>
      <c r="K47" s="43" t="str">
        <f>IFERROR(SUM(ContinuousAssessment!$N50:$Q50)/COUNTA(ContinuousAssessment!$N50:$Q50)*Guide!$I$4,"")</f>
        <v/>
      </c>
      <c r="L47" s="44">
        <f>Guide!$H$4*testResults!$E46</f>
        <v>0</v>
      </c>
      <c r="M47" s="44">
        <f t="shared" si="4"/>
        <v>0</v>
      </c>
      <c r="N47" s="43" t="str">
        <f>IFERROR(Guide!$I$4*(SUM(ContinuousAssessment!$R50:$U50))/COUNTA(ContinuousAssessment!R50:U50),"")</f>
        <v/>
      </c>
      <c r="O47" s="44">
        <f>Guide!$H$4*testResults!F46</f>
        <v>0</v>
      </c>
      <c r="P47" s="44">
        <f t="shared" si="5"/>
        <v>0</v>
      </c>
      <c r="Q47" s="43" t="str">
        <f>IFERROR(Guide!$I$4*(SUM(ContinuousAssessment!$V50:$Y50)/COUNTA(ContinuousAssessment!$V50:$Y50)),"")</f>
        <v/>
      </c>
      <c r="R47" s="44">
        <f>Guide!$H$4*testResults!G46</f>
        <v>0</v>
      </c>
      <c r="S47" s="44">
        <f t="shared" si="6"/>
        <v>0</v>
      </c>
      <c r="T47" s="43" t="str">
        <f>IFERROR(Guide!$I$4*(SUM(ContinuousAssessment!$Z50:$AC50))/COUNTA(ContinuousAssessment!$Z50:$AC50),"")</f>
        <v/>
      </c>
      <c r="U47" s="44">
        <f>Guide!$H$4*testResults!H46</f>
        <v>0</v>
      </c>
      <c r="V47" s="44">
        <f t="shared" si="7"/>
        <v>0</v>
      </c>
      <c r="W47" s="43" t="str">
        <f>IFERROR(((SUM(ContinuousAssessment!$AD50:$AF50))/COUNTA(ContinuousAssessment!$AD50:$AF50))*Guide!$I$4,"")</f>
        <v/>
      </c>
      <c r="X47" s="44">
        <f>Guide!$H$4*testResults!I46</f>
        <v>0</v>
      </c>
      <c r="Y47" s="44">
        <f t="shared" si="8"/>
        <v>0</v>
      </c>
      <c r="Z47" s="43" t="str">
        <f>IFERROR((SUM(ContinuousAssessment!$AH50:$AK50)/COUNTA(ContinuousAssessment!AH50:AK50))*Guide!$I$4,"")</f>
        <v/>
      </c>
      <c r="AA47" s="44">
        <f>testResults!J46*Guide!$H$4</f>
        <v>0</v>
      </c>
      <c r="AB47" s="44">
        <f t="shared" si="9"/>
        <v>0</v>
      </c>
      <c r="AC47" s="44">
        <f t="shared" si="0"/>
        <v>0</v>
      </c>
    </row>
    <row r="48" spans="1:29">
      <c r="A48" s="43">
        <f>'Students Names'!$A47</f>
        <v>0</v>
      </c>
      <c r="B48" s="43" t="str">
        <f>IFERROR(Guide!$I$4*(SUM(ContinuousAssessment!B51:E51)/COUNTA(ContinuousAssessment!B51:E51)),"")</f>
        <v/>
      </c>
      <c r="C48" s="44">
        <f>Guide!$H$4*testResults!B47</f>
        <v>0</v>
      </c>
      <c r="D48" s="44">
        <f t="shared" si="1"/>
        <v>0</v>
      </c>
      <c r="E48" s="43" t="str">
        <f>IFERROR(Guide!$I$4*(SUM(ContinuousAssessment!$F51:$I51)/COUNTA(ContinuousAssessment!$F51:$I51)),"")</f>
        <v/>
      </c>
      <c r="F48" s="44">
        <f>Guide!$H$4*testResults!C47</f>
        <v>0</v>
      </c>
      <c r="G48" s="44">
        <f t="shared" si="2"/>
        <v>0</v>
      </c>
      <c r="H48" s="43" t="str">
        <f>IFERROR(Guide!$I$4*SUM(ContinuousAssessment!$J51:$M51)/COUNTA(ContinuousAssessment!$J51:$M51),"")</f>
        <v/>
      </c>
      <c r="I48" s="44">
        <f>Guide!$H$4*testResults!D47</f>
        <v>0</v>
      </c>
      <c r="J48" s="44">
        <f t="shared" si="3"/>
        <v>0</v>
      </c>
      <c r="K48" s="43" t="str">
        <f>IFERROR(SUM(ContinuousAssessment!$N51:$Q51)/COUNTA(ContinuousAssessment!$N51:$Q51)*Guide!$I$4,"")</f>
        <v/>
      </c>
      <c r="L48" s="44">
        <f>Guide!$H$4*testResults!$E47</f>
        <v>0</v>
      </c>
      <c r="M48" s="44">
        <f t="shared" si="4"/>
        <v>0</v>
      </c>
      <c r="N48" s="43" t="str">
        <f>IFERROR(Guide!$I$4*(SUM(ContinuousAssessment!$R51:$U51))/COUNTA(ContinuousAssessment!R51:U51),"")</f>
        <v/>
      </c>
      <c r="O48" s="44">
        <f>Guide!$H$4*testResults!F47</f>
        <v>0</v>
      </c>
      <c r="P48" s="44">
        <f t="shared" si="5"/>
        <v>0</v>
      </c>
      <c r="Q48" s="43" t="str">
        <f>IFERROR(Guide!$I$4*(SUM(ContinuousAssessment!$V51:$Y51)/COUNTA(ContinuousAssessment!$V51:$Y51)),"")</f>
        <v/>
      </c>
      <c r="R48" s="44">
        <f>Guide!$H$4*testResults!G47</f>
        <v>0</v>
      </c>
      <c r="S48" s="44">
        <f t="shared" si="6"/>
        <v>0</v>
      </c>
      <c r="T48" s="43" t="str">
        <f>IFERROR(Guide!$I$4*(SUM(ContinuousAssessment!$Z51:$AC51))/COUNTA(ContinuousAssessment!$Z51:$AC51),"")</f>
        <v/>
      </c>
      <c r="U48" s="44">
        <f>Guide!$H$4*testResults!H47</f>
        <v>0</v>
      </c>
      <c r="V48" s="44">
        <f t="shared" si="7"/>
        <v>0</v>
      </c>
      <c r="W48" s="43" t="str">
        <f>IFERROR(((SUM(ContinuousAssessment!$AD51:$AF51))/COUNTA(ContinuousAssessment!$AD51:$AF51))*Guide!$I$4,"")</f>
        <v/>
      </c>
      <c r="X48" s="44">
        <f>Guide!$H$4*testResults!I47</f>
        <v>0</v>
      </c>
      <c r="Y48" s="44">
        <f t="shared" si="8"/>
        <v>0</v>
      </c>
      <c r="Z48" s="43" t="str">
        <f>IFERROR((SUM(ContinuousAssessment!$AH51:$AK51)/COUNTA(ContinuousAssessment!AH51:AK51))*Guide!$I$4,"")</f>
        <v/>
      </c>
      <c r="AA48" s="44">
        <f>testResults!J47*Guide!$H$4</f>
        <v>0</v>
      </c>
      <c r="AB48" s="44">
        <f t="shared" si="9"/>
        <v>0</v>
      </c>
      <c r="AC48" s="44">
        <f t="shared" si="0"/>
        <v>0</v>
      </c>
    </row>
    <row r="49" spans="1:29">
      <c r="A49" s="43">
        <f>'Students Names'!$A48</f>
        <v>0</v>
      </c>
      <c r="B49" s="43" t="str">
        <f>IFERROR(Guide!$I$4*(SUM(ContinuousAssessment!B52:E52)/COUNTA(ContinuousAssessment!B52:E52)),"")</f>
        <v/>
      </c>
      <c r="C49" s="44">
        <f>Guide!$H$4*testResults!B48</f>
        <v>0</v>
      </c>
      <c r="D49" s="44">
        <f t="shared" si="1"/>
        <v>0</v>
      </c>
      <c r="E49" s="43" t="str">
        <f>IFERROR(Guide!$I$4*(SUM(ContinuousAssessment!$F52:$I52)/COUNTA(ContinuousAssessment!$F52:$I52)),"")</f>
        <v/>
      </c>
      <c r="F49" s="44">
        <f>Guide!$H$4*testResults!C48</f>
        <v>0</v>
      </c>
      <c r="G49" s="44">
        <f t="shared" si="2"/>
        <v>0</v>
      </c>
      <c r="H49" s="43" t="str">
        <f>IFERROR(Guide!$I$4*SUM(ContinuousAssessment!$J52:$M52)/COUNTA(ContinuousAssessment!$J52:$M52),"")</f>
        <v/>
      </c>
      <c r="I49" s="44">
        <f>Guide!$H$4*testResults!D48</f>
        <v>0</v>
      </c>
      <c r="J49" s="44">
        <f t="shared" si="3"/>
        <v>0</v>
      </c>
      <c r="K49" s="43" t="str">
        <f>IFERROR(SUM(ContinuousAssessment!$N52:$Q52)/COUNTA(ContinuousAssessment!$N52:$Q52)*Guide!$I$4,"")</f>
        <v/>
      </c>
      <c r="L49" s="44">
        <f>Guide!$H$4*testResults!$E48</f>
        <v>0</v>
      </c>
      <c r="M49" s="44">
        <f t="shared" si="4"/>
        <v>0</v>
      </c>
      <c r="N49" s="43" t="str">
        <f>IFERROR(Guide!$I$4*(SUM(ContinuousAssessment!$R52:$U52))/COUNTA(ContinuousAssessment!R52:U52),"")</f>
        <v/>
      </c>
      <c r="O49" s="44">
        <f>Guide!$H$4*testResults!F48</f>
        <v>0</v>
      </c>
      <c r="P49" s="44">
        <f t="shared" si="5"/>
        <v>0</v>
      </c>
      <c r="Q49" s="43" t="str">
        <f>IFERROR(Guide!$I$4*(SUM(ContinuousAssessment!$V52:$Y52)/COUNTA(ContinuousAssessment!$V52:$Y52)),"")</f>
        <v/>
      </c>
      <c r="R49" s="44">
        <f>Guide!$H$4*testResults!G48</f>
        <v>0</v>
      </c>
      <c r="S49" s="44">
        <f t="shared" si="6"/>
        <v>0</v>
      </c>
      <c r="T49" s="43" t="str">
        <f>IFERROR(Guide!$I$4*(SUM(ContinuousAssessment!$Z52:$AC52))/COUNTA(ContinuousAssessment!$Z52:$AC52),"")</f>
        <v/>
      </c>
      <c r="U49" s="44">
        <f>Guide!$H$4*testResults!H48</f>
        <v>0</v>
      </c>
      <c r="V49" s="44">
        <f t="shared" si="7"/>
        <v>0</v>
      </c>
      <c r="W49" s="43" t="str">
        <f>IFERROR(((SUM(ContinuousAssessment!$AD52:$AF52))/COUNTA(ContinuousAssessment!$AD52:$AF52))*Guide!$I$4,"")</f>
        <v/>
      </c>
      <c r="X49" s="44">
        <f>Guide!$H$4*testResults!I48</f>
        <v>0</v>
      </c>
      <c r="Y49" s="44">
        <f t="shared" si="8"/>
        <v>0</v>
      </c>
      <c r="Z49" s="43" t="str">
        <f>IFERROR((SUM(ContinuousAssessment!$AH52:$AK52)/COUNTA(ContinuousAssessment!AH52:AK52))*Guide!$I$4,"")</f>
        <v/>
      </c>
      <c r="AA49" s="44">
        <f>testResults!J48*Guide!$H$4</f>
        <v>0</v>
      </c>
      <c r="AB49" s="44">
        <f t="shared" si="9"/>
        <v>0</v>
      </c>
      <c r="AC49" s="44">
        <f t="shared" si="0"/>
        <v>0</v>
      </c>
    </row>
    <row r="50" spans="1:29">
      <c r="A50" s="43">
        <f>'Students Names'!$A49</f>
        <v>0</v>
      </c>
      <c r="B50" s="43" t="str">
        <f>IFERROR(Guide!$I$4*(SUM(ContinuousAssessment!B53:E53)/COUNTA(ContinuousAssessment!B53:E53)),"")</f>
        <v/>
      </c>
      <c r="C50" s="44">
        <f>Guide!$H$4*testResults!B49</f>
        <v>0</v>
      </c>
      <c r="D50" s="44">
        <f t="shared" si="1"/>
        <v>0</v>
      </c>
      <c r="E50" s="43" t="str">
        <f>IFERROR(Guide!$I$4*(SUM(ContinuousAssessment!$F53:$I53)/COUNTA(ContinuousAssessment!$F53:$I53)),"")</f>
        <v/>
      </c>
      <c r="F50" s="44">
        <f>Guide!$H$4*testResults!C49</f>
        <v>0</v>
      </c>
      <c r="G50" s="44">
        <f t="shared" si="2"/>
        <v>0</v>
      </c>
      <c r="H50" s="43" t="str">
        <f>IFERROR(Guide!$I$4*SUM(ContinuousAssessment!$J53:$M53)/COUNTA(ContinuousAssessment!$J53:$M53),"")</f>
        <v/>
      </c>
      <c r="I50" s="44">
        <f>Guide!$H$4*testResults!D49</f>
        <v>0</v>
      </c>
      <c r="J50" s="44">
        <f t="shared" si="3"/>
        <v>0</v>
      </c>
      <c r="K50" s="43" t="str">
        <f>IFERROR(SUM(ContinuousAssessment!$N53:$Q53)/COUNTA(ContinuousAssessment!$N53:$Q53)*Guide!$I$4,"")</f>
        <v/>
      </c>
      <c r="L50" s="44">
        <f>Guide!$H$4*testResults!$E49</f>
        <v>0</v>
      </c>
      <c r="M50" s="44">
        <f t="shared" si="4"/>
        <v>0</v>
      </c>
      <c r="N50" s="43" t="str">
        <f>IFERROR(Guide!$I$4*(SUM(ContinuousAssessment!$R53:$U53))/COUNTA(ContinuousAssessment!R53:U53),"")</f>
        <v/>
      </c>
      <c r="O50" s="44">
        <f>Guide!$H$4*testResults!F49</f>
        <v>0</v>
      </c>
      <c r="P50" s="44">
        <f t="shared" si="5"/>
        <v>0</v>
      </c>
      <c r="Q50" s="43" t="str">
        <f>IFERROR(Guide!$I$4*(SUM(ContinuousAssessment!$V53:$Y53)/COUNTA(ContinuousAssessment!$V53:$Y53)),"")</f>
        <v/>
      </c>
      <c r="R50" s="44">
        <f>Guide!$H$4*testResults!G49</f>
        <v>0</v>
      </c>
      <c r="S50" s="44">
        <f t="shared" si="6"/>
        <v>0</v>
      </c>
      <c r="T50" s="43" t="str">
        <f>IFERROR(Guide!$I$4*(SUM(ContinuousAssessment!$Z53:$AC53))/COUNTA(ContinuousAssessment!$Z53:$AC53),"")</f>
        <v/>
      </c>
      <c r="U50" s="44">
        <f>Guide!$H$4*testResults!H49</f>
        <v>0</v>
      </c>
      <c r="V50" s="44">
        <f t="shared" si="7"/>
        <v>0</v>
      </c>
      <c r="W50" s="43" t="str">
        <f>IFERROR(((SUM(ContinuousAssessment!$AD53:$AF53))/COUNTA(ContinuousAssessment!$AD53:$AF53))*Guide!$I$4,"")</f>
        <v/>
      </c>
      <c r="X50" s="44">
        <f>Guide!$H$4*testResults!I49</f>
        <v>0</v>
      </c>
      <c r="Y50" s="44">
        <f t="shared" si="8"/>
        <v>0</v>
      </c>
      <c r="Z50" s="43" t="str">
        <f>IFERROR((SUM(ContinuousAssessment!$AH53:$AK53)/COUNTA(ContinuousAssessment!AH53:AK53))*Guide!$I$4,"")</f>
        <v/>
      </c>
      <c r="AA50" s="44">
        <f>testResults!J49*Guide!$H$4</f>
        <v>0</v>
      </c>
      <c r="AB50" s="44">
        <f t="shared" si="9"/>
        <v>0</v>
      </c>
      <c r="AC50" s="44">
        <f t="shared" si="0"/>
        <v>0</v>
      </c>
    </row>
    <row r="51" spans="1:29">
      <c r="A51" s="43">
        <f>'Students Names'!$A50</f>
        <v>0</v>
      </c>
      <c r="B51" s="43" t="str">
        <f>IFERROR(Guide!$I$4*(SUM(ContinuousAssessment!B54:E54)/COUNTA(ContinuousAssessment!B54:E54)),"")</f>
        <v/>
      </c>
      <c r="C51" s="44">
        <f>Guide!$H$4*testResults!B50</f>
        <v>0</v>
      </c>
      <c r="D51" s="44">
        <f t="shared" si="1"/>
        <v>0</v>
      </c>
      <c r="E51" s="43" t="str">
        <f>IFERROR(Guide!$I$4*(SUM(ContinuousAssessment!$F54:$I54)/COUNTA(ContinuousAssessment!$F54:$I54)),"")</f>
        <v/>
      </c>
      <c r="F51" s="44">
        <f>Guide!$H$4*testResults!C50</f>
        <v>0</v>
      </c>
      <c r="G51" s="44">
        <f t="shared" si="2"/>
        <v>0</v>
      </c>
      <c r="H51" s="43" t="str">
        <f>IFERROR(Guide!$I$4*SUM(ContinuousAssessment!$J54:$M54)/COUNTA(ContinuousAssessment!$J54:$M54),"")</f>
        <v/>
      </c>
      <c r="I51" s="44">
        <f>Guide!$H$4*testResults!D50</f>
        <v>0</v>
      </c>
      <c r="J51" s="44">
        <f t="shared" si="3"/>
        <v>0</v>
      </c>
      <c r="K51" s="43" t="str">
        <f>IFERROR(SUM(ContinuousAssessment!$N54:$Q54)/COUNTA(ContinuousAssessment!$N54:$Q54)*Guide!$I$4,"")</f>
        <v/>
      </c>
      <c r="L51" s="44">
        <f>Guide!$H$4*testResults!$E50</f>
        <v>0</v>
      </c>
      <c r="M51" s="44">
        <f t="shared" si="4"/>
        <v>0</v>
      </c>
      <c r="N51" s="43" t="str">
        <f>IFERROR(Guide!$I$4*(SUM(ContinuousAssessment!$R54:$U54))/COUNTA(ContinuousAssessment!R54:U54),"")</f>
        <v/>
      </c>
      <c r="O51" s="44">
        <f>Guide!$H$4*testResults!F50</f>
        <v>0</v>
      </c>
      <c r="P51" s="44">
        <f t="shared" si="5"/>
        <v>0</v>
      </c>
      <c r="Q51" s="43" t="str">
        <f>IFERROR(Guide!$I$4*(SUM(ContinuousAssessment!$V54:$Y54)/COUNTA(ContinuousAssessment!$V54:$Y54)),"")</f>
        <v/>
      </c>
      <c r="R51" s="44">
        <f>Guide!$H$4*testResults!G50</f>
        <v>0</v>
      </c>
      <c r="S51" s="44">
        <f t="shared" si="6"/>
        <v>0</v>
      </c>
      <c r="T51" s="43" t="str">
        <f>IFERROR(Guide!$I$4*(SUM(ContinuousAssessment!$Z54:$AC54))/COUNTA(ContinuousAssessment!$Z54:$AC54),"")</f>
        <v/>
      </c>
      <c r="U51" s="44">
        <f>Guide!$H$4*testResults!H50</f>
        <v>0</v>
      </c>
      <c r="V51" s="44">
        <f t="shared" si="7"/>
        <v>0</v>
      </c>
      <c r="W51" s="43" t="str">
        <f>IFERROR(((SUM(ContinuousAssessment!$AD54:$AF54))/COUNTA(ContinuousAssessment!$AD54:$AF54))*Guide!$I$4,"")</f>
        <v/>
      </c>
      <c r="X51" s="44">
        <f>Guide!$H$4*testResults!I50</f>
        <v>0</v>
      </c>
      <c r="Y51" s="44">
        <f t="shared" si="8"/>
        <v>0</v>
      </c>
      <c r="Z51" s="43" t="str">
        <f>IFERROR((SUM(ContinuousAssessment!$AH54:$AK54)/COUNTA(ContinuousAssessment!AH54:AK54))*Guide!$I$4,"")</f>
        <v/>
      </c>
      <c r="AA51" s="44">
        <f>testResults!J50*Guide!$H$4</f>
        <v>0</v>
      </c>
      <c r="AB51" s="44">
        <f t="shared" si="9"/>
        <v>0</v>
      </c>
      <c r="AC51" s="44">
        <f t="shared" si="0"/>
        <v>0</v>
      </c>
    </row>
    <row r="52" spans="1:29">
      <c r="A52" s="43">
        <f>'Students Names'!$A51</f>
        <v>0</v>
      </c>
      <c r="B52" s="43" t="str">
        <f>IFERROR(Guide!$I$4*(SUM(ContinuousAssessment!B55:E55)/COUNTA(ContinuousAssessment!B55:E55)),"")</f>
        <v/>
      </c>
      <c r="C52" s="44">
        <f>Guide!$H$4*testResults!B51</f>
        <v>0</v>
      </c>
      <c r="D52" s="44">
        <f t="shared" si="1"/>
        <v>0</v>
      </c>
      <c r="E52" s="43" t="str">
        <f>IFERROR(Guide!$I$4*(SUM(ContinuousAssessment!$F55:$I55)/COUNTA(ContinuousAssessment!$F55:$I55)),"")</f>
        <v/>
      </c>
      <c r="F52" s="44">
        <f>Guide!$H$4*testResults!C51</f>
        <v>0</v>
      </c>
      <c r="G52" s="44">
        <f t="shared" si="2"/>
        <v>0</v>
      </c>
      <c r="H52" s="43" t="str">
        <f>IFERROR(Guide!$I$4*SUM(ContinuousAssessment!$J55:$M55)/COUNTA(ContinuousAssessment!$J55:$M55),"")</f>
        <v/>
      </c>
      <c r="I52" s="44">
        <f>Guide!$H$4*testResults!D51</f>
        <v>0</v>
      </c>
      <c r="J52" s="44">
        <f t="shared" si="3"/>
        <v>0</v>
      </c>
      <c r="K52" s="43" t="str">
        <f>IFERROR(SUM(ContinuousAssessment!$N55:$Q55)/COUNTA(ContinuousAssessment!$N55:$Q55)*Guide!$I$4,"")</f>
        <v/>
      </c>
      <c r="L52" s="44">
        <f>Guide!$H$4*testResults!$E51</f>
        <v>0</v>
      </c>
      <c r="M52" s="44">
        <f t="shared" si="4"/>
        <v>0</v>
      </c>
      <c r="N52" s="43" t="str">
        <f>IFERROR(Guide!$I$4*(SUM(ContinuousAssessment!$R55:$U55))/COUNTA(ContinuousAssessment!R55:U55),"")</f>
        <v/>
      </c>
      <c r="O52" s="44">
        <f>Guide!$H$4*testResults!F51</f>
        <v>0</v>
      </c>
      <c r="P52" s="44">
        <f t="shared" si="5"/>
        <v>0</v>
      </c>
      <c r="Q52" s="43" t="str">
        <f>IFERROR(Guide!$I$4*(SUM(ContinuousAssessment!$V55:$Y55)/COUNTA(ContinuousAssessment!$V55:$Y55)),"")</f>
        <v/>
      </c>
      <c r="R52" s="44">
        <f>Guide!$H$4*testResults!G51</f>
        <v>0</v>
      </c>
      <c r="S52" s="44">
        <f t="shared" si="6"/>
        <v>0</v>
      </c>
      <c r="T52" s="43" t="str">
        <f>IFERROR(Guide!$I$4*(SUM(ContinuousAssessment!$Z55:$AC55))/COUNTA(ContinuousAssessment!$Z55:$AC55),"")</f>
        <v/>
      </c>
      <c r="U52" s="44">
        <f>Guide!$H$4*testResults!H51</f>
        <v>0</v>
      </c>
      <c r="V52" s="44">
        <f t="shared" si="7"/>
        <v>0</v>
      </c>
      <c r="W52" s="43" t="str">
        <f>IFERROR(((SUM(ContinuousAssessment!$AD55:$AF55))/COUNTA(ContinuousAssessment!$AD55:$AF55))*Guide!$I$4,"")</f>
        <v/>
      </c>
      <c r="X52" s="44">
        <f>Guide!$H$4*testResults!I51</f>
        <v>0</v>
      </c>
      <c r="Y52" s="44">
        <f t="shared" si="8"/>
        <v>0</v>
      </c>
      <c r="Z52" s="43" t="str">
        <f>IFERROR((SUM(ContinuousAssessment!$AH55:$AK55)/COUNTA(ContinuousAssessment!AH55:AK55))*Guide!$I$4,"")</f>
        <v/>
      </c>
      <c r="AA52" s="44">
        <f>testResults!J51*Guide!$H$4</f>
        <v>0</v>
      </c>
      <c r="AB52" s="44">
        <f t="shared" si="9"/>
        <v>0</v>
      </c>
      <c r="AC52" s="44">
        <f t="shared" si="0"/>
        <v>0</v>
      </c>
    </row>
    <row r="53" spans="1:29">
      <c r="A53" s="43">
        <f>'Students Names'!$A52</f>
        <v>0</v>
      </c>
      <c r="B53" s="43" t="str">
        <f>IFERROR(Guide!$I$4*(SUM(ContinuousAssessment!B56:E56)/COUNTA(ContinuousAssessment!B56:E56)),"")</f>
        <v/>
      </c>
      <c r="C53" s="44">
        <f>Guide!$H$4*testResults!B52</f>
        <v>0</v>
      </c>
      <c r="D53" s="44">
        <f t="shared" si="1"/>
        <v>0</v>
      </c>
      <c r="E53" s="43" t="str">
        <f>IFERROR(Guide!$I$4*(SUM(ContinuousAssessment!$F56:$I56)/COUNTA(ContinuousAssessment!$F56:$I56)),"")</f>
        <v/>
      </c>
      <c r="F53" s="44">
        <f>Guide!$H$4*testResults!C52</f>
        <v>0</v>
      </c>
      <c r="G53" s="44">
        <f t="shared" si="2"/>
        <v>0</v>
      </c>
      <c r="H53" s="43" t="str">
        <f>IFERROR(Guide!$I$4*SUM(ContinuousAssessment!$J56:$M56)/COUNTA(ContinuousAssessment!$J56:$M56),"")</f>
        <v/>
      </c>
      <c r="I53" s="44">
        <f>Guide!$H$4*testResults!D52</f>
        <v>0</v>
      </c>
      <c r="J53" s="44">
        <f t="shared" si="3"/>
        <v>0</v>
      </c>
      <c r="K53" s="43" t="str">
        <f>IFERROR(SUM(ContinuousAssessment!$N56:$Q56)/COUNTA(ContinuousAssessment!$N56:$Q56)*Guide!$I$4,"")</f>
        <v/>
      </c>
      <c r="L53" s="44">
        <f>Guide!$H$4*testResults!$E52</f>
        <v>0</v>
      </c>
      <c r="M53" s="44">
        <f t="shared" si="4"/>
        <v>0</v>
      </c>
      <c r="N53" s="43" t="str">
        <f>IFERROR(Guide!$I$4*(SUM(ContinuousAssessment!$R56:$U56))/COUNTA(ContinuousAssessment!R56:U56),"")</f>
        <v/>
      </c>
      <c r="O53" s="44">
        <f>Guide!$H$4*testResults!F52</f>
        <v>0</v>
      </c>
      <c r="P53" s="44">
        <f t="shared" si="5"/>
        <v>0</v>
      </c>
      <c r="Q53" s="43" t="str">
        <f>IFERROR(Guide!$I$4*(SUM(ContinuousAssessment!$V56:$Y56)/COUNTA(ContinuousAssessment!$V56:$Y56)),"")</f>
        <v/>
      </c>
      <c r="R53" s="44">
        <f>Guide!$H$4*testResults!G52</f>
        <v>0</v>
      </c>
      <c r="S53" s="44">
        <f t="shared" si="6"/>
        <v>0</v>
      </c>
      <c r="T53" s="43" t="str">
        <f>IFERROR(Guide!$I$4*(SUM(ContinuousAssessment!$Z56:$AC56))/COUNTA(ContinuousAssessment!$Z56:$AC56),"")</f>
        <v/>
      </c>
      <c r="U53" s="44">
        <f>Guide!$H$4*testResults!H52</f>
        <v>0</v>
      </c>
      <c r="V53" s="44">
        <f t="shared" si="7"/>
        <v>0</v>
      </c>
      <c r="W53" s="43" t="str">
        <f>IFERROR(((SUM(ContinuousAssessment!$AD56:$AF56))/COUNTA(ContinuousAssessment!$AD56:$AF56))*Guide!$I$4,"")</f>
        <v/>
      </c>
      <c r="X53" s="44">
        <f>Guide!$H$4*testResults!I52</f>
        <v>0</v>
      </c>
      <c r="Y53" s="44">
        <f t="shared" si="8"/>
        <v>0</v>
      </c>
      <c r="Z53" s="43" t="str">
        <f>IFERROR((SUM(ContinuousAssessment!$AH56:$AK56)/COUNTA(ContinuousAssessment!AH56:AK56))*Guide!$I$4,"")</f>
        <v/>
      </c>
      <c r="AA53" s="44">
        <f>testResults!J52*Guide!$H$4</f>
        <v>0</v>
      </c>
      <c r="AB53" s="44">
        <f t="shared" si="9"/>
        <v>0</v>
      </c>
      <c r="AC53" s="44">
        <f t="shared" si="0"/>
        <v>0</v>
      </c>
    </row>
    <row r="54" spans="1:29">
      <c r="A54" s="43">
        <f>'Students Names'!$A53</f>
        <v>0</v>
      </c>
      <c r="B54" s="43" t="str">
        <f>IFERROR(Guide!$I$4*(SUM(ContinuousAssessment!B57:E57)/COUNTA(ContinuousAssessment!B57:E57)),"")</f>
        <v/>
      </c>
      <c r="C54" s="44">
        <f>Guide!$H$4*testResults!B53</f>
        <v>0</v>
      </c>
      <c r="D54" s="44">
        <f t="shared" si="1"/>
        <v>0</v>
      </c>
      <c r="E54" s="43" t="str">
        <f>IFERROR(Guide!$I$4*(SUM(ContinuousAssessment!$F57:$I57)/COUNTA(ContinuousAssessment!$F57:$I57)),"")</f>
        <v/>
      </c>
      <c r="F54" s="44">
        <f>Guide!$H$4*testResults!C53</f>
        <v>0</v>
      </c>
      <c r="G54" s="44">
        <f t="shared" si="2"/>
        <v>0</v>
      </c>
      <c r="H54" s="43" t="str">
        <f>IFERROR(Guide!$I$4*SUM(ContinuousAssessment!$J57:$M57)/COUNTA(ContinuousAssessment!$J57:$M57),"")</f>
        <v/>
      </c>
      <c r="I54" s="44">
        <f>Guide!$H$4*testResults!D53</f>
        <v>0</v>
      </c>
      <c r="J54" s="44">
        <f t="shared" si="3"/>
        <v>0</v>
      </c>
      <c r="K54" s="43" t="str">
        <f>IFERROR(SUM(ContinuousAssessment!$N57:$Q57)/COUNTA(ContinuousAssessment!$N57:$Q57)*Guide!$I$4,"")</f>
        <v/>
      </c>
      <c r="L54" s="44">
        <f>Guide!$H$4*testResults!$E53</f>
        <v>0</v>
      </c>
      <c r="M54" s="44">
        <f t="shared" si="4"/>
        <v>0</v>
      </c>
      <c r="N54" s="43" t="str">
        <f>IFERROR(Guide!$I$4*(SUM(ContinuousAssessment!$R57:$U57))/COUNTA(ContinuousAssessment!R57:U57),"")</f>
        <v/>
      </c>
      <c r="O54" s="44">
        <f>Guide!$H$4*testResults!F53</f>
        <v>0</v>
      </c>
      <c r="P54" s="44">
        <f t="shared" si="5"/>
        <v>0</v>
      </c>
      <c r="Q54" s="43" t="str">
        <f>IFERROR(Guide!$I$4*(SUM(ContinuousAssessment!$V57:$Y57)/COUNTA(ContinuousAssessment!$V57:$Y57)),"")</f>
        <v/>
      </c>
      <c r="R54" s="44">
        <f>Guide!$H$4*testResults!G53</f>
        <v>0</v>
      </c>
      <c r="S54" s="44">
        <f t="shared" si="6"/>
        <v>0</v>
      </c>
      <c r="T54" s="43" t="str">
        <f>IFERROR(Guide!$I$4*(SUM(ContinuousAssessment!$Z57:$AC57))/COUNTA(ContinuousAssessment!$Z57:$AC57),"")</f>
        <v/>
      </c>
      <c r="U54" s="44">
        <f>Guide!$H$4*testResults!H53</f>
        <v>0</v>
      </c>
      <c r="V54" s="44">
        <f t="shared" si="7"/>
        <v>0</v>
      </c>
      <c r="W54" s="43" t="str">
        <f>IFERROR(((SUM(ContinuousAssessment!$AD57:$AF57))/COUNTA(ContinuousAssessment!$AD57:$AF57))*Guide!$I$4,"")</f>
        <v/>
      </c>
      <c r="X54" s="44">
        <f>Guide!$H$4*testResults!I53</f>
        <v>0</v>
      </c>
      <c r="Y54" s="44">
        <f t="shared" si="8"/>
        <v>0</v>
      </c>
      <c r="Z54" s="43" t="str">
        <f>IFERROR((SUM(ContinuousAssessment!$AH57:$AK57)/COUNTA(ContinuousAssessment!AH57:AK57))*Guide!$I$4,"")</f>
        <v/>
      </c>
      <c r="AA54" s="44">
        <f>testResults!J53*Guide!$H$4</f>
        <v>0</v>
      </c>
      <c r="AB54" s="44">
        <f t="shared" si="9"/>
        <v>0</v>
      </c>
      <c r="AC54" s="44">
        <f t="shared" si="0"/>
        <v>0</v>
      </c>
    </row>
  </sheetData>
  <sheetProtection sheet="1" objects="1"/>
  <mergeCells count="9">
    <mergeCell ref="B1:D1"/>
    <mergeCell ref="E1:G1"/>
    <mergeCell ref="H1:J1"/>
    <mergeCell ref="K1:M1"/>
    <mergeCell ref="N1:P1"/>
    <mergeCell ref="Q1:S1"/>
    <mergeCell ref="T1:V1"/>
    <mergeCell ref="W1:Y1"/>
    <mergeCell ref="Z1:AB1"/>
  </mergeCell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7"/>
  <sheetViews>
    <sheetView showGridLines="0" tabSelected="1" workbookViewId="0">
      <selection activeCell="C4" sqref="C4"/>
    </sheetView>
  </sheetViews>
  <sheetFormatPr defaultColWidth="8.72727272727273" defaultRowHeight="14.5"/>
  <cols>
    <col min="3" max="3" width="20.0909090909091" customWidth="1"/>
    <col min="4" max="4" width="13.8181818181818" customWidth="1"/>
    <col min="5" max="5" width="12.7272727272727" customWidth="1"/>
    <col min="6" max="6" width="19" customWidth="1"/>
    <col min="7" max="7" width="10.1818181818182" customWidth="1"/>
    <col min="8" max="8" width="13.6363636363636" customWidth="1"/>
  </cols>
  <sheetData>
    <row r="1" ht="15.25"/>
    <row r="2" ht="15.25" spans="2:10">
      <c r="B2" s="1"/>
      <c r="C2" s="2"/>
      <c r="D2" s="3"/>
      <c r="E2" s="3"/>
      <c r="F2" s="3"/>
      <c r="G2" s="3"/>
      <c r="H2" s="3"/>
      <c r="I2" s="3"/>
      <c r="J2" s="35"/>
    </row>
    <row r="3" ht="24.25" spans="2:10">
      <c r="B3" s="4"/>
      <c r="C3" s="5" t="str">
        <f>UPPER(Guide!$I$9)</f>
        <v>KALPOHIN ANGLICAN PRIMARY B</v>
      </c>
      <c r="D3" s="6"/>
      <c r="E3" s="6"/>
      <c r="F3" s="6"/>
      <c r="G3" s="6"/>
      <c r="H3" s="6"/>
      <c r="I3" s="21"/>
      <c r="J3" s="36"/>
    </row>
    <row r="4" ht="29" customHeight="1" spans="2:10">
      <c r="B4" s="4"/>
      <c r="C4" s="7" t="s">
        <v>93</v>
      </c>
      <c r="D4" s="8" t="s">
        <v>12</v>
      </c>
      <c r="E4" s="8"/>
      <c r="F4" s="8"/>
      <c r="G4" s="8"/>
      <c r="H4" s="9"/>
      <c r="I4" s="21"/>
      <c r="J4" s="36"/>
    </row>
    <row r="5" ht="29" customHeight="1" spans="2:10">
      <c r="B5" s="4"/>
      <c r="C5" s="10" t="s">
        <v>94</v>
      </c>
      <c r="D5" s="11" t="s">
        <v>95</v>
      </c>
      <c r="E5" s="12"/>
      <c r="F5" s="12"/>
      <c r="G5" s="12"/>
      <c r="H5" s="12"/>
      <c r="I5" s="16"/>
      <c r="J5" s="36"/>
    </row>
    <row r="6" ht="21" customHeight="1" spans="2:10">
      <c r="B6" s="4"/>
      <c r="C6" s="13" t="s">
        <v>96</v>
      </c>
      <c r="D6" s="14"/>
      <c r="E6" s="12"/>
      <c r="F6" s="12"/>
      <c r="G6" s="12"/>
      <c r="H6" s="12"/>
      <c r="I6" s="16"/>
      <c r="J6" s="36"/>
    </row>
    <row r="7" ht="24" customHeight="1" spans="2:10">
      <c r="B7" s="4"/>
      <c r="C7" s="13" t="s">
        <v>97</v>
      </c>
      <c r="D7" s="15"/>
      <c r="E7" s="16"/>
      <c r="F7" s="16"/>
      <c r="G7" s="16"/>
      <c r="H7" s="16"/>
      <c r="I7" s="16"/>
      <c r="J7" s="36"/>
    </row>
    <row r="8" ht="16.25" spans="2:10">
      <c r="B8" s="4"/>
      <c r="C8" s="17" t="s">
        <v>98</v>
      </c>
      <c r="D8" s="17" t="s">
        <v>99</v>
      </c>
      <c r="E8" s="17" t="s">
        <v>100</v>
      </c>
      <c r="F8" s="17" t="s">
        <v>101</v>
      </c>
      <c r="G8" s="17" t="s">
        <v>102</v>
      </c>
      <c r="H8" s="17" t="s">
        <v>103</v>
      </c>
      <c r="I8" s="21"/>
      <c r="J8" s="36"/>
    </row>
    <row r="9" ht="15.25" spans="2:10">
      <c r="B9" s="4"/>
      <c r="C9" s="18" t="s">
        <v>16</v>
      </c>
      <c r="D9" s="19" t="str">
        <f>_xlfn.XLOOKUP($D$4,overAll!$A$3:$A$54,overAll!B$3:B$54)</f>
        <v/>
      </c>
      <c r="E9" s="19">
        <f>_xlfn.XLOOKUP($D$4,overAll!$A$3:$A$54,overAll!C$3:C$54)</f>
        <v>61.6</v>
      </c>
      <c r="F9" s="19">
        <f>_xlfn.XLOOKUP($D$4,overAll!$A$3:$A$54,overAll!D$3:D$54)</f>
        <v>61.6</v>
      </c>
      <c r="G9" s="19">
        <f>RANK(_xlfn.XLOOKUP($D$4,overAll!$A$3:$A$54,overAll!D$3:D$54),overAll!D$3:D$54)</f>
        <v>2</v>
      </c>
      <c r="H9" s="20" t="str">
        <f t="shared" ref="H9:H17" si="0">IF(F9&gt;=80,"Excellent",IF(F9&gt;=70,"Very Good",IF(F9&gt;=60,"Good",IF(F9&gt;=45,"Credit",IF(F9&gt;=35,"Pass",IF(F9&lt;35,"Fail"))))))</f>
        <v>Good</v>
      </c>
      <c r="I9" s="21"/>
      <c r="J9" s="36"/>
    </row>
    <row r="10" ht="15.25" spans="2:10">
      <c r="B10" s="4"/>
      <c r="C10" s="18" t="s">
        <v>17</v>
      </c>
      <c r="D10" s="19" t="str">
        <f>_xlfn.XLOOKUP($D$4,overAll!$A$3:$A$54,overAll!E$3:E$54)</f>
        <v/>
      </c>
      <c r="E10" s="19">
        <f>_xlfn.XLOOKUP($D$4,overAll!$A$3:$A$54,overAll!F$3:F$54)</f>
        <v>0</v>
      </c>
      <c r="F10" s="19">
        <f>_xlfn.XLOOKUP($D$4,overAll!$A$3:$A$54,overAll!G$3:G$54)</f>
        <v>0</v>
      </c>
      <c r="G10" s="19">
        <f>RANK(_xlfn.XLOOKUP($D$4,overAll!$A$3:$A$54,overAll!G$3:G$54),overAll!G$3:G$54)</f>
        <v>1</v>
      </c>
      <c r="H10" s="20" t="str">
        <f t="shared" si="0"/>
        <v>Fail</v>
      </c>
      <c r="I10" s="21"/>
      <c r="J10" s="36"/>
    </row>
    <row r="11" ht="15.25" spans="2:10">
      <c r="B11" s="4"/>
      <c r="C11" s="18" t="s">
        <v>18</v>
      </c>
      <c r="D11" s="19" t="str">
        <f>_xlfn.XLOOKUP($D$4,overAll!$A$3:$A$54,overAll!H$3:H$54)</f>
        <v/>
      </c>
      <c r="E11" s="19">
        <f>_xlfn.XLOOKUP($D$4,overAll!$A$3:$A$54,overAll!I$3:I$54)</f>
        <v>0</v>
      </c>
      <c r="F11" s="19">
        <f>_xlfn.XLOOKUP($D$4,overAll!$A$3:$A$54,overAll!J$3:J$54)</f>
        <v>0</v>
      </c>
      <c r="G11" s="19">
        <f>RANK(_xlfn.XLOOKUP($D$4,overAll!$A$3:$A$54,overAll!J$3:J$54),overAll!J$3:J$54)</f>
        <v>1</v>
      </c>
      <c r="H11" s="20" t="str">
        <f t="shared" si="0"/>
        <v>Fail</v>
      </c>
      <c r="I11" s="21"/>
      <c r="J11" s="36"/>
    </row>
    <row r="12" ht="15.25" spans="2:10">
      <c r="B12" s="4"/>
      <c r="C12" s="18" t="s">
        <v>19</v>
      </c>
      <c r="D12" s="19" t="str">
        <f>_xlfn.XLOOKUP($D$4,overAll!$A$3:$A$54,overAll!K$3:K$54)</f>
        <v/>
      </c>
      <c r="E12" s="19">
        <f>_xlfn.XLOOKUP($D$4,overAll!$A$3:$A$54,overAll!L$3:L$54)</f>
        <v>0</v>
      </c>
      <c r="F12" s="19">
        <f>_xlfn.XLOOKUP($D$4,overAll!$A$3:$A$54,overAll!M$3:M$54)</f>
        <v>0</v>
      </c>
      <c r="G12" s="19">
        <f>RANK(_xlfn.XLOOKUP($D$4,overAll!$A$3:$A$54,overAll!M$3:M$54),overAll!M$3:M$54)</f>
        <v>1</v>
      </c>
      <c r="H12" s="20" t="str">
        <f t="shared" si="0"/>
        <v>Fail</v>
      </c>
      <c r="I12" s="21"/>
      <c r="J12" s="36"/>
    </row>
    <row r="13" ht="15.25" spans="2:10">
      <c r="B13" s="4"/>
      <c r="C13" s="18" t="s">
        <v>61</v>
      </c>
      <c r="D13" s="19" t="str">
        <f>_xlfn.XLOOKUP($D$4,overAll!$A$3:$A$54,overAll!N$3:N$54)</f>
        <v/>
      </c>
      <c r="E13" s="19">
        <f>_xlfn.XLOOKUP($D$4,overAll!$A$3:$A$54,overAll!O$3:O$54)</f>
        <v>0</v>
      </c>
      <c r="F13" s="19">
        <f>_xlfn.XLOOKUP($D$4,overAll!$A$3:$A$54,overAll!P$3:P$54)</f>
        <v>0</v>
      </c>
      <c r="G13" s="19">
        <f>RANK(_xlfn.XLOOKUP($D$4,overAll!$A$3:$A$54,overAll!P$3:P$54),overAll!$P$3:$P$54)</f>
        <v>1</v>
      </c>
      <c r="H13" s="20" t="str">
        <f t="shared" si="0"/>
        <v>Fail</v>
      </c>
      <c r="I13" s="21"/>
      <c r="J13" s="36"/>
    </row>
    <row r="14" ht="15.25" spans="2:10">
      <c r="B14" s="4"/>
      <c r="C14" s="18" t="s">
        <v>21</v>
      </c>
      <c r="D14" s="19" t="str">
        <f>_xlfn.XLOOKUP($D$4,overAll!$A$3:$A$54,overAll!Q$3:Q$54)</f>
        <v/>
      </c>
      <c r="E14" s="19">
        <f>_xlfn.XLOOKUP($D$4,overAll!$A$3:$A$54,overAll!R$3:R$54)</f>
        <v>0</v>
      </c>
      <c r="F14" s="19">
        <f>_xlfn.XLOOKUP($D$4,overAll!$A$3:$A$54,overAll!S$3:S$54)</f>
        <v>0</v>
      </c>
      <c r="G14" s="19">
        <f>RANK(_xlfn.XLOOKUP($D$4,overAll!$A$3:$A$54,overAll!S$3:S$54),overAll!$S$3:$S$54)</f>
        <v>1</v>
      </c>
      <c r="H14" s="20" t="str">
        <f t="shared" si="0"/>
        <v>Fail</v>
      </c>
      <c r="I14" s="21"/>
      <c r="J14" s="36"/>
    </row>
    <row r="15" ht="15.25" spans="2:10">
      <c r="B15" s="4"/>
      <c r="C15" s="18" t="s">
        <v>62</v>
      </c>
      <c r="D15" s="19" t="str">
        <f>_xlfn.XLOOKUP($D$4,overAll!$A$3:$A$54,overAll!T$3:T$54)</f>
        <v/>
      </c>
      <c r="E15" s="19">
        <f>_xlfn.XLOOKUP($D$4,overAll!$A$3:$A$54,overAll!U$3:U$54)</f>
        <v>0</v>
      </c>
      <c r="F15" s="19">
        <f>_xlfn.XLOOKUP($D$4,overAll!$A$3:$A$54,overAll!V$3:V$54)</f>
        <v>0</v>
      </c>
      <c r="G15" s="19">
        <f>RANK(_xlfn.XLOOKUP($D$4,overAll!$A$3:$A$54,overAll!V$3:V$54),overAll!V$3:V$54)</f>
        <v>1</v>
      </c>
      <c r="H15" s="20" t="str">
        <f t="shared" si="0"/>
        <v>Fail</v>
      </c>
      <c r="I15" s="21"/>
      <c r="J15" s="36"/>
    </row>
    <row r="16" ht="15.25" spans="2:10">
      <c r="B16" s="4"/>
      <c r="C16" s="18" t="s">
        <v>23</v>
      </c>
      <c r="D16" s="19" t="str">
        <f>_xlfn.XLOOKUP($D$4,overAll!$A$3:$A$54,overAll!W$3:W$54)</f>
        <v/>
      </c>
      <c r="E16" s="19">
        <f>_xlfn.XLOOKUP($D$4,overAll!$A$3:$A$54,overAll!X$3:X$54)</f>
        <v>0</v>
      </c>
      <c r="F16" s="19">
        <f>_xlfn.XLOOKUP($D$4,overAll!$A$3:$A$54,overAll!Y$3:Y$54)</f>
        <v>0</v>
      </c>
      <c r="G16" s="19">
        <f>RANK(_xlfn.XLOOKUP($D$4,overAll!$A$3:$A$54,overAll!Y$3:Y$54),overAll!Y$3:Y$54)</f>
        <v>1</v>
      </c>
      <c r="H16" s="20" t="str">
        <f t="shared" si="0"/>
        <v>Fail</v>
      </c>
      <c r="I16" s="21"/>
      <c r="J16" s="36"/>
    </row>
    <row r="17" spans="2:10">
      <c r="B17" s="4"/>
      <c r="C17" s="18" t="s">
        <v>24</v>
      </c>
      <c r="D17" s="19" t="str">
        <f>_xlfn.XLOOKUP($D$4,overAll!$A$3:$A$54,overAll!Z$3:Z$54)</f>
        <v/>
      </c>
      <c r="E17" s="19">
        <f>_xlfn.XLOOKUP($D$4,overAll!$A$3:$A$54,overAll!AA$3:AA$54)</f>
        <v>0</v>
      </c>
      <c r="F17" s="19">
        <f>_xlfn.XLOOKUP($D$4,overAll!$A$3:$A$54,overAll!AB$3:AB$54)</f>
        <v>0</v>
      </c>
      <c r="G17" s="19">
        <f>RANK(_xlfn.XLOOKUP($D$4,overAll!$A$3:$A$54,overAll!AB$3:AB$54),overAll!AB$3:AB$54)</f>
        <v>1</v>
      </c>
      <c r="H17" s="20" t="str">
        <f t="shared" si="0"/>
        <v>Fail</v>
      </c>
      <c r="I17" s="21"/>
      <c r="J17" s="36"/>
    </row>
    <row r="18" spans="2:10">
      <c r="B18" s="4"/>
      <c r="C18" s="21"/>
      <c r="D18" s="21"/>
      <c r="E18" s="21"/>
      <c r="F18" s="21"/>
      <c r="G18" s="21"/>
      <c r="H18" s="21"/>
      <c r="I18" s="21"/>
      <c r="J18" s="36"/>
    </row>
    <row r="19" spans="2:10">
      <c r="B19" s="4"/>
      <c r="C19" s="21"/>
      <c r="D19" s="21"/>
      <c r="E19" s="21"/>
      <c r="F19" s="21"/>
      <c r="G19" s="21"/>
      <c r="H19" s="21"/>
      <c r="I19" s="21"/>
      <c r="J19" s="36"/>
    </row>
    <row r="20" spans="2:10">
      <c r="B20" s="4"/>
      <c r="C20" s="21"/>
      <c r="D20" s="21"/>
      <c r="E20" s="21"/>
      <c r="F20" s="21"/>
      <c r="G20" s="21"/>
      <c r="H20" s="21"/>
      <c r="I20" s="21"/>
      <c r="J20" s="36"/>
    </row>
    <row r="21" spans="2:10">
      <c r="B21" s="4"/>
      <c r="C21" s="10" t="s">
        <v>104</v>
      </c>
      <c r="D21" s="22">
        <v>55</v>
      </c>
      <c r="E21" s="23" t="s">
        <v>105</v>
      </c>
      <c r="F21" s="24"/>
      <c r="G21" s="25">
        <v>70</v>
      </c>
      <c r="H21" s="10" t="s">
        <v>106</v>
      </c>
      <c r="I21" s="27" t="s">
        <v>107</v>
      </c>
      <c r="J21" s="37"/>
    </row>
    <row r="22" spans="2:10">
      <c r="B22" s="4"/>
      <c r="C22" s="26"/>
      <c r="D22" s="11"/>
      <c r="E22" s="26"/>
      <c r="F22" s="26"/>
      <c r="G22" s="26"/>
      <c r="H22" s="26"/>
      <c r="I22" s="26"/>
      <c r="J22" s="38"/>
    </row>
    <row r="23" ht="17" customHeight="1" spans="2:10">
      <c r="B23" s="4"/>
      <c r="C23" s="10" t="s">
        <v>108</v>
      </c>
      <c r="D23" s="27" t="s">
        <v>109</v>
      </c>
      <c r="E23" s="10" t="s">
        <v>110</v>
      </c>
      <c r="F23" s="27" t="s">
        <v>111</v>
      </c>
      <c r="G23" s="28" t="s">
        <v>112</v>
      </c>
      <c r="H23" s="27" t="s">
        <v>21</v>
      </c>
      <c r="I23" s="26"/>
      <c r="J23" s="38"/>
    </row>
    <row r="24" ht="18" customHeight="1" spans="2:10">
      <c r="B24" s="4"/>
      <c r="C24" s="29" t="s">
        <v>113</v>
      </c>
      <c r="D24" s="30" t="s">
        <v>114</v>
      </c>
      <c r="F24" s="31"/>
      <c r="G24" s="31"/>
      <c r="H24" s="31"/>
      <c r="I24" s="31"/>
      <c r="J24" s="39"/>
    </row>
    <row r="25" ht="19" customHeight="1" spans="2:10">
      <c r="B25" s="4"/>
      <c r="C25" s="28" t="s">
        <v>115</v>
      </c>
      <c r="D25" s="32"/>
      <c r="E25" s="32"/>
      <c r="F25" s="32"/>
      <c r="G25" s="32"/>
      <c r="H25" s="32"/>
      <c r="I25" s="32"/>
      <c r="J25" s="38"/>
    </row>
    <row r="26" ht="15.25" spans="2:10">
      <c r="B26" s="33"/>
      <c r="C26" s="34"/>
      <c r="D26" s="34"/>
      <c r="E26" s="34"/>
      <c r="F26" s="34"/>
      <c r="G26" s="34"/>
      <c r="H26" s="34"/>
      <c r="I26" s="34"/>
      <c r="J26" s="40"/>
    </row>
    <row r="27" ht="15.25"/>
  </sheetData>
  <sheetProtection algorithmName="SHA-512" hashValue="eg4AJ0tGQbmiaC08xoqK5hf3ajRwEtpR6XMg11byCtKIN7elYfRynmfr8vtWM7uIIEV+V/JJJnM5GhVaNdhG/w==" saltValue="IXiz3neYUzHEl+DXfqsE+Q==" spinCount="100000" sheet="1" sort="0" objects="1"/>
  <mergeCells count="1">
    <mergeCell ref="D4:H4"/>
  </mergeCells>
  <dataValidations count="7">
    <dataValidation type="list" allowBlank="1" showInputMessage="1" showErrorMessage="1" sqref="D4:H4">
      <formula1>'Students Names'!$A$2:$A$62</formula1>
    </dataValidation>
    <dataValidation type="list" allowBlank="1" showInputMessage="1" showErrorMessage="1" sqref="D5 I21">
      <formula1>"KG 1, KG 2, BASIC 1, BASIC 2, BASIC3, BASIC 4, BASIC 5, BASIC 6, JHS 1, JHS 2, JHS 3"</formula1>
    </dataValidation>
    <dataValidation type="whole" operator="between" allowBlank="1" showInputMessage="1" showErrorMessage="1" sqref="D21 G21">
      <formula1>0</formula1>
      <formula2>100</formula2>
    </dataValidation>
    <dataValidation type="list" allowBlank="1" showInputMessage="1" showErrorMessage="1" sqref="D23">
      <formula1>"RESPECTFUL, COOPERATIVE, RESPONSIBLE, SHOWS LEADERSHIP, SHOWS DISCIPLINE SUPPORT, DISRUPTIVE"</formula1>
    </dataValidation>
    <dataValidation type="list" allowBlank="1" showInputMessage="1" showErrorMessage="1" sqref="F23">
      <formula1>"HIGHLY MOTIVATED, CONSISTENT EFFORT, INDEPENDENT LEARNER, NEEDS IMPROVEMENT, EASILY DISTRUCTED"</formula1>
    </dataValidation>
    <dataValidation type="list" allowBlank="1" showInputMessage="1" showErrorMessage="1" sqref="H23">
      <formula1>"READING, CREATIVE ARTS, PUBLIC SPEAKING, SPORTS, ICT/CODING, ENTREPRENEURSHIP"</formula1>
    </dataValidation>
    <dataValidation type="list" allowBlank="1" showInputMessage="1" showErrorMessage="1" sqref="D24">
      <formula1>"KEEP IT UP, SHOWS IMPROVEMENT, NEEDS MORE EFFORT, EASILY DISTRUCTED"</formula1>
    </dataValidation>
  </dataValidations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6" master="" otherUserPermission="visible"/>
  <rangeList sheetStid="3" master="" otherUserPermission="visible"/>
  <rangeList sheetStid="5" master="" otherUserPermission="visible"/>
  <rangeList sheetStid="1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Guide</vt:lpstr>
      <vt:lpstr>Students Names</vt:lpstr>
      <vt:lpstr>ContinuousAssessment</vt:lpstr>
      <vt:lpstr>testResults</vt:lpstr>
      <vt:lpstr>overAll</vt:lpstr>
      <vt:lpstr>reportCards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Braimah Abdul-Latif</cp:lastModifiedBy>
  <dcterms:created xsi:type="dcterms:W3CDTF">2026-07-22T17:13:00Z</dcterms:created>
  <dcterms:modified xsi:type="dcterms:W3CDTF">2026-08-02T09:09:24Z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3B710D3B59BD491A848C1274CD4BB2E3_13</vt:lpwstr>
  </property>
  <property fmtid="{D5CDD505-2E9C-101B-9397-08002B2CF9AE}" pid="3" name="KSOProductBuildVer">
    <vt:lpwstr>2057-12.2.0.23206</vt:lpwstr>
  </property>
</Properties>
</file>